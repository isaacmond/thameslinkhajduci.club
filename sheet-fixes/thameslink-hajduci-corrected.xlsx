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S1" sheetId="2" state="visible" r:id="rId2"/>
    <sheet name="S2" sheetId="3" state="visible" r:id="rId3"/>
    <sheet name="S3" sheetId="4" state="visible" r:id="rId4"/>
    <sheet name="S4" sheetId="5" state="visible" r:id="rId5"/>
    <sheet name="S5" sheetId="6" state="visible" r:id="rId6"/>
    <sheet name="S6" sheetId="7" state="visible" r:id="rId7"/>
    <sheet name="S7" sheetId="8" state="visible" r:id="rId8"/>
    <sheet name="S8" sheetId="9" state="visible" r:id="rId9"/>
    <sheet name="Season template" sheetId="10" state="visible" r:id="rId10"/>
    <sheet name="All-time" sheetId="11" state="visible" r:id="rId11"/>
    <sheet name="Money" sheetId="12" state="visible" r:id="rId12"/>
    <sheet name="Payments" sheetId="13" state="visible" r:id="rId13"/>
  </sheets>
  <definedNames>
    <definedName name="Roster">'All-time'!$A$3:$A$30</definedName>
  </definedNames>
  <calcPr calcId="124519" fullCalcOnLoad="1"/>
</workbook>
</file>

<file path=xl/styles.xml><?xml version="1.0" encoding="utf-8"?>
<styleSheet xmlns="http://schemas.openxmlformats.org/spreadsheetml/2006/main">
  <numFmts count="4">
    <numFmt numFmtId="164" formatCode="dd/mm/yy"/>
    <numFmt numFmtId="165" formatCode="hh:mm"/>
    <numFmt numFmtId="166" formatCode="\£#,##0.00"/>
    <numFmt numFmtId="167" formatCode="dd/mm/yyyy"/>
  </numFmts>
  <fonts count="10">
    <font>
      <name val="Calibri"/>
      <color theme="1"/>
      <sz val="11"/>
      <scheme val="minor"/>
    </font>
    <font>
      <name val="Arial"/>
      <b val="1"/>
      <color rgb="FFFFFFFF"/>
      <sz val="14"/>
    </font>
    <font>
      <name val="Arial"/>
      <color rgb="FF000000"/>
      <sz val="10"/>
    </font>
    <font>
      <name val="Arial"/>
      <b val="1"/>
      <color rgb="FF1F3864"/>
      <sz val="11"/>
    </font>
    <font>
      <name val="Arial"/>
      <b val="1"/>
      <color rgb="FFFFFFFF"/>
      <sz val="12"/>
    </font>
    <font>
      <name val="Calibri"/>
      <color theme="1"/>
      <sz val="11"/>
    </font>
    <font>
      <name val="Arial"/>
      <b val="1"/>
      <color rgb="FF000000"/>
      <sz val="10"/>
    </font>
    <font>
      <name val="Arial"/>
      <b val="1"/>
      <color rgb="FFFFFFFF"/>
      <sz val="10"/>
    </font>
    <font>
      <name val="Arial"/>
      <b val="1"/>
      <i val="1"/>
      <color rgb="FF000000"/>
      <sz val="10"/>
    </font>
    <font>
      <name val="Arial"/>
      <i val="1"/>
      <color rgb="FF808080"/>
      <sz val="10"/>
    </font>
  </fonts>
  <fills count="7">
    <fill>
      <patternFill/>
    </fill>
    <fill>
      <patternFill patternType="lightGray"/>
    </fill>
    <fill>
      <patternFill patternType="solid">
        <fgColor rgb="FF1F3864"/>
        <bgColor rgb="FF1F3864"/>
      </patternFill>
    </fill>
    <fill>
      <patternFill patternType="solid">
        <fgColor rgb="FFD9E1F2"/>
        <bgColor rgb="FFD9E1F2"/>
      </patternFill>
    </fill>
    <fill>
      <patternFill patternType="solid">
        <fgColor rgb="FFF2F2F2"/>
        <bgColor rgb="FFF2F2F2"/>
      </patternFill>
    </fill>
    <fill>
      <patternFill patternType="solid">
        <fgColor rgb="FFFFF2CC"/>
        <bgColor rgb="FFFFF2CC"/>
      </patternFill>
    </fill>
    <fill>
      <patternFill patternType="solid">
        <fgColor rgb="FF2F5597"/>
        <bgColor rgb="FF2F5597"/>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applyAlignment="1" pivotButton="0" quotePrefix="0" xfId="0">
      <alignment vertical="bottom"/>
    </xf>
    <xf numFmtId="0" fontId="1" fillId="2" borderId="1"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vertical="bottom"/>
    </xf>
    <xf numFmtId="0" fontId="5" fillId="2" borderId="1" applyAlignment="1" pivotButton="0" quotePrefix="0" xfId="0">
      <alignment vertical="bottom"/>
    </xf>
    <xf numFmtId="0" fontId="6" fillId="3" borderId="2" applyAlignment="1" pivotButton="0" quotePrefix="0" xfId="0">
      <alignment horizontal="center" vertical="center"/>
    </xf>
    <xf numFmtId="0" fontId="6" fillId="0" borderId="0" applyAlignment="1" pivotButton="0" quotePrefix="0" xfId="0">
      <alignment vertical="bottom"/>
    </xf>
    <xf numFmtId="0" fontId="6" fillId="0" borderId="2" applyAlignment="1" pivotButton="0" quotePrefix="0" xfId="0">
      <alignment vertical="bottom"/>
    </xf>
    <xf numFmtId="164" fontId="2" fillId="0" borderId="2" applyAlignment="1" pivotButton="0" quotePrefix="0" xfId="0">
      <alignment horizontal="center" vertical="center"/>
    </xf>
    <xf numFmtId="0" fontId="2" fillId="4" borderId="2" applyAlignment="1" pivotButton="0" quotePrefix="0" xfId="0">
      <alignment vertical="bottom"/>
    </xf>
    <xf numFmtId="165"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5" borderId="2" applyAlignment="1" pivotButton="0" quotePrefix="0" xfId="0">
      <alignment horizontal="center" vertical="center"/>
    </xf>
    <xf numFmtId="0" fontId="2" fillId="4" borderId="2" applyAlignment="1" pivotButton="0" quotePrefix="0" xfId="0">
      <alignment horizontal="center" vertical="center"/>
    </xf>
    <xf numFmtId="0" fontId="2" fillId="0" borderId="2" applyAlignment="1" pivotButton="0" quotePrefix="0" xfId="0">
      <alignment horizontal="center" vertical="center"/>
    </xf>
    <xf numFmtId="166" fontId="2" fillId="4" borderId="2" applyAlignment="1" pivotButton="0" quotePrefix="0" xfId="0">
      <alignment vertical="bottom"/>
    </xf>
    <xf numFmtId="0" fontId="2" fillId="0" borderId="2" applyAlignment="1" pivotButton="0" quotePrefix="0" xfId="0">
      <alignment horizontal="left" vertical="top" wrapText="1"/>
    </xf>
    <xf numFmtId="0" fontId="6" fillId="5" borderId="2" applyAlignment="1" pivotButton="0" quotePrefix="0" xfId="0">
      <alignment vertical="bottom"/>
    </xf>
    <xf numFmtId="166" fontId="2" fillId="5" borderId="2" applyAlignment="1" pivotButton="0" quotePrefix="0" xfId="0">
      <alignment horizontal="center" vertical="center"/>
    </xf>
    <xf numFmtId="166" fontId="2" fillId="4" borderId="2" applyAlignment="1" pivotButton="0" quotePrefix="0" xfId="0">
      <alignment horizontal="center" vertical="center"/>
    </xf>
    <xf numFmtId="0" fontId="7" fillId="6" borderId="2" applyAlignment="1" pivotButton="0" quotePrefix="0" xfId="0">
      <alignment horizontal="left" vertical="center"/>
    </xf>
    <xf numFmtId="0" fontId="7" fillId="6" borderId="2" applyAlignment="1" pivotButton="0" quotePrefix="0" xfId="0">
      <alignment horizontal="center" vertical="center"/>
    </xf>
    <xf numFmtId="0" fontId="2" fillId="0" borderId="2" applyAlignment="1" pivotButton="0" quotePrefix="0" xfId="0">
      <alignment vertical="bottom"/>
    </xf>
    <xf numFmtId="0" fontId="6" fillId="4" borderId="2" applyAlignment="1" pivotButton="0" quotePrefix="0" xfId="0">
      <alignment horizontal="center" vertical="center"/>
    </xf>
    <xf numFmtId="166" fontId="6" fillId="4" borderId="2" applyAlignment="1" pivotButton="0" quotePrefix="0" xfId="0">
      <alignment horizontal="center" vertical="center"/>
    </xf>
    <xf numFmtId="0" fontId="2" fillId="5" borderId="2" applyAlignment="1" pivotButton="0" quotePrefix="0" xfId="0">
      <alignment horizontal="center" vertical="center"/>
    </xf>
    <xf numFmtId="0" fontId="2" fillId="0" borderId="2" applyAlignment="1" pivotButton="0" quotePrefix="0" xfId="0">
      <alignment horizontal="center" vertical="center"/>
    </xf>
    <xf numFmtId="0" fontId="7" fillId="2" borderId="1" applyAlignment="1" pivotButton="0" quotePrefix="0" xfId="0">
      <alignment horizontal="center" vertical="center"/>
    </xf>
    <xf numFmtId="0" fontId="7" fillId="2" borderId="1" applyAlignment="1" pivotButton="0" quotePrefix="0" xfId="0">
      <alignment vertical="bottom"/>
    </xf>
    <xf numFmtId="0" fontId="6" fillId="3" borderId="2" applyAlignment="1" pivotButton="0" quotePrefix="0" xfId="0">
      <alignment horizontal="left" vertical="center"/>
    </xf>
    <xf numFmtId="0" fontId="8" fillId="4" borderId="2" applyAlignment="1" pivotButton="0" quotePrefix="0" xfId="0">
      <alignment horizontal="left" vertical="center"/>
    </xf>
    <xf numFmtId="0" fontId="8" fillId="4" borderId="2" applyAlignment="1" pivotButton="0" quotePrefix="0" xfId="0">
      <alignment horizontal="center" vertical="center"/>
    </xf>
    <xf numFmtId="0" fontId="6" fillId="3" borderId="2" applyAlignment="1" pivotButton="0" quotePrefix="0" xfId="0">
      <alignment horizontal="center" vertical="center" wrapText="1"/>
    </xf>
    <xf numFmtId="166" fontId="2" fillId="0" borderId="2" applyAlignment="1" pivotButton="0" quotePrefix="0" xfId="0">
      <alignment horizontal="center" vertical="center"/>
    </xf>
    <xf numFmtId="0" fontId="9" fillId="0" borderId="0" applyAlignment="1" pivotButton="0" quotePrefix="0" xfId="0">
      <alignment vertical="bottom"/>
    </xf>
    <xf numFmtId="167" fontId="2" fillId="0" borderId="2" applyAlignment="1" pivotButton="0" quotePrefix="0" xfId="0">
      <alignment vertical="bottom"/>
    </xf>
    <xf numFmtId="166" fontId="2" fillId="0" borderId="2"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45"/>
  <sheetViews>
    <sheetView showGridLines="0" workbookViewId="0">
      <selection activeCell="A1" sqref="A1"/>
    </sheetView>
  </sheetViews>
  <sheetFormatPr baseColWidth="8" defaultColWidth="14.43" defaultRowHeight="15" customHeight="1"/>
  <cols>
    <col width="3" customWidth="1" style="38" min="1" max="1"/>
    <col width="115" customWidth="1" style="38" min="2" max="2"/>
    <col width="8.710000000000001" customWidth="1" style="38" min="3" max="26"/>
  </cols>
  <sheetData>
    <row r="1"/>
    <row r="2" ht="24" customHeight="1" s="38">
      <c r="B2" s="1" t="inlineStr">
        <is>
          <t>THAMESLINK HAJDUCI — TEAM TRACKER</t>
        </is>
      </c>
    </row>
    <row r="3">
      <c r="B3" s="2" t="n"/>
    </row>
    <row r="4">
      <c r="B4" s="3" t="inlineStr">
        <is>
          <t>HOW IT WORKS</t>
        </is>
      </c>
    </row>
    <row r="5">
      <c r="B5" s="2" t="inlineStr">
        <is>
          <t>Each season lives on ONE tab (S1–S6, S8). Everything for that season — fixtures, results, appearances, goals, assists, costs — is on that tab.</t>
        </is>
      </c>
    </row>
    <row r="6">
      <c r="B6" s="2" t="inlineStr">
        <is>
          <t>Aggregator tabs (All-time, Money) sit after the season tabs and update automatically.</t>
        </is>
      </c>
    </row>
    <row r="7">
      <c r="B7" s="2" t="inlineStr">
        <is>
          <t>Yellow cells are the weekly inputs: Our goals, Their goals, Match cost. Grey cells are calculated — don’t type in them.</t>
        </is>
      </c>
    </row>
    <row r="8">
      <c r="B8" s="2" t="n"/>
    </row>
    <row r="9">
      <c r="B9" s="3" t="inlineStr">
        <is>
          <t>LOGGING A GAME (on the season tab)</t>
        </is>
      </c>
    </row>
    <row r="10">
      <c r="B10" s="2" t="inlineStr">
        <is>
          <t>1. Enter the score in the "Our goals" / "Their goals" rows (Score and W/D/L fill in automatically — this also permanently fixes the old problem of scores like 3-10 turning into dates).</t>
        </is>
      </c>
    </row>
    <row r="11">
      <c r="B11" s="2" t="inlineStr">
        <is>
          <t>2. Put a 1 in the APPEARANCES grid for everyone who played.</t>
        </is>
      </c>
    </row>
    <row r="12">
      <c r="B12" s="2" t="inlineStr">
        <is>
          <t>3. Enter goals/assists per player in the GOALS and ASSISTS grids.</t>
        </is>
      </c>
    </row>
    <row r="13">
      <c r="B13" s="2" t="inlineStr">
        <is>
          <t>4. Enter the Match cost (£). It’s split evenly across that game’s players and lands on each player’s Cost (£) column and the Money tab.</t>
        </is>
      </c>
    </row>
    <row r="14">
      <c r="B14" s="2" t="n"/>
    </row>
    <row r="15">
      <c r="B15" s="3" t="inlineStr">
        <is>
          <t>MONEY</t>
        </is>
      </c>
    </row>
    <row r="16">
      <c r="B16" s="2" t="inlineStr">
        <is>
          <t>All seasons before Season 8 are settled, so player tabs start from S8. The Money tab shows what each player has been charged (from the season tabs), what they’ve paid (from the Payments tab), and the balance they owe.</t>
        </is>
      </c>
    </row>
    <row r="17">
      <c r="B17" s="2" t="inlineStr">
        <is>
          <t>Record every transfer received on the Payments tab (date, player, amount). That’s it.</t>
        </is>
      </c>
    </row>
    <row r="18">
      <c r="B18" s="2" t="inlineStr">
        <is>
          <t>Each season tab has a yellow "Paid by" cell (top right, under the season summary) — set it to whoever fronts that season’s fees. It shows automatically on the Money tab. Isaac Mond is paying for Season 8; every game costs £79.95.</t>
        </is>
      </c>
    </row>
    <row r="19">
      <c r="B19" s="2" t="inlineStr">
        <is>
          <t>If a different person pays in a future season, balances mix creditors — read each season’s charges column against that season’s payer to settle up.</t>
        </is>
      </c>
    </row>
    <row r="20">
      <c r="B20" s="2" t="n"/>
    </row>
    <row r="21" ht="15.75" customHeight="1" s="38">
      <c r="B21" s="3" t="inlineStr">
        <is>
          <t>ADDING A NEW SEASON (the easy bit)</t>
        </is>
      </c>
    </row>
    <row r="22" ht="15.75" customHeight="1" s="38">
      <c r="B22" s="2" t="inlineStr">
        <is>
          <t>1. Right-click the "Season template" tab → Duplicate. Rename the copy exactly S9 (then S10, ...).</t>
        </is>
      </c>
    </row>
    <row r="23" ht="15.75" customHeight="1" s="38">
      <c r="B23" s="2" t="inlineStr">
        <is>
          <t>2. Fill in dates/kick-offs/opponents across the top. Done.</t>
        </is>
      </c>
    </row>
    <row r="24" ht="15.75" customHeight="1" s="38">
      <c r="B24" s="2" t="inlineStr">
        <is>
          <t>The All-time and Money tabs already have S9 and S10 columns wired up (they show 0 until the tab exists, then pick it up automatically). For S11 onwards: copy the last season’s column pair on All-time (and column on Money) one block to the right and type the new tab name in row 1.</t>
        </is>
      </c>
    </row>
    <row r="25" ht="15.75" customHeight="1" s="38">
      <c r="B25" s="2" t="n"/>
    </row>
    <row r="26" ht="15.75" customHeight="1" s="38">
      <c r="B26" s="3" t="inlineStr">
        <is>
          <t>FIXES &amp; ASSUMPTIONS MADE IN THIS REBUILD</t>
        </is>
      </c>
    </row>
    <row r="27" ht="15.75" customHeight="1" s="38">
      <c r="B27" s="2" t="inlineStr">
        <is>
          <t>• Dozens of scores had been auto-converted to dates (e.g. "3-10" → 3 Oct 2025). Restored as day-month; scores are assumed to read Us–Them. Two S4 scores were "??" in the source and stay blank.</t>
        </is>
      </c>
    </row>
    <row r="28" ht="15.75" customHeight="1" s="38">
      <c r="B28" s="2" t="inlineStr">
        <is>
          <t>• Season 6 totals were UNDERCOUNTED in the old sheet (its subtotal only summed 8 of 14 gameweeks, for both apps and goals). All-time numbers here are higher than the old Total tab because they now include the full season.</t>
        </is>
      </c>
    </row>
    <row r="29" ht="15.75" customHeight="1" s="38">
      <c r="B29" s="2" t="inlineStr">
        <is>
          <t>• S1 GW6 date was typed as 2026 → corrected to 16/10/2024.</t>
        </is>
      </c>
    </row>
    <row r="30" ht="15.75" customHeight="1" s="38">
      <c r="B30" s="2" t="inlineStr">
        <is>
          <t>• S4, S5 and S6 missing dates were filled weekly from the sheet’s own recorded anchors (S5 includes the Christmas break). Note: the team app dates S4 one week earlier (26 Jun–25 Sep); the sheet’s anchors are trusted here.</t>
        </is>
      </c>
    </row>
    <row r="31" ht="15.75" customHeight="1" s="38">
      <c r="B31" s="2" t="inlineStr">
        <is>
          <t>• S3’s 13 tracked columns are aligned to games 2–14 (GW1 was the forfeit, nobody played) — the app resolved which matches the columns belonged to; the marks themselves are the sheet’s.</t>
        </is>
      </c>
    </row>
    <row r="32" ht="15.75" customHeight="1" s="38">
      <c r="B32" s="2" t="inlineStr">
        <is>
          <t>• "Robin Watson" = Robin; "Seb" = Seb Burgess. The sheet’s "Jake Ringer" appears in the app as two profiles ("Jake Hamilton" and "Jacob Hamilton") — his sheet name is kept and his S7 game is credited to him; worth merging the duplicates in the app.</t>
        </is>
      </c>
    </row>
    <row r="33" ht="15.75" customHeight="1" s="38">
      <c r="B33" s="2" t="n"/>
    </row>
    <row r="34" ht="15.75" customHeight="1" s="38">
      <c r="B34" s="3" t="inlineStr">
        <is>
          <t>TEAM APP (thameslinkhajduci.lovable.app, pulled 31 Aug 2026) — SHEET TRUSTED, APP FILLS GAPS</t>
        </is>
      </c>
    </row>
    <row r="35" ht="15.75" customHeight="1" s="38">
      <c r="B35" s="2" t="inlineStr">
        <is>
          <t>• Season 7 imported in full: 15 games (12 league + 1 friendly + forfeits), May–Aug 2026, with per-game apps and goals. The friendly vs Ref’s Mates and the forfeits are tagged in Comments and count in the totals.</t>
        </is>
      </c>
    </row>
    <row r="36" ht="15.75" customHeight="1" s="38">
      <c r="B36" s="2" t="inlineStr">
        <is>
          <t>• All S1–S6 apps, goals and assists are the sheet’s own marks, verbatim. Where the app disagrees, the sheet wins: the app has Henry Linklater and Isaac Mond on 9 S1 apps (sheet: 8), Finn Cawley on 7 S3 apps (sheet: 5), and shuffles a few S1 games (George, Sam, Phil, Callum).</t>
        </is>
      </c>
    </row>
    <row r="37" ht="15.75" customHeight="1" s="38">
      <c r="B37" s="2" t="inlineStr">
        <is>
          <t>• Score conflict, sheet kept: S1 GW5 vs Clapham Casuals is 1-2 here; the app records 2-1. Every other score agrees across both sources.</t>
        </is>
      </c>
    </row>
    <row r="38" ht="15.75" customHeight="1" s="38">
      <c r="B38" s="2" t="inlineStr">
        <is>
          <t>• Missing appearance ticks implied by the sheet’s own goals/MOTMs were filled, confirmed by Isaac (31 Aug 2026): George Barbantan &amp; Sam Holt S1 GW6 (goals), Phil Knott S1 GW7 &amp; Neeraj Radia S1 GW9 (assists), Finn Cawley S2 GW4 (MOTM) and twice in S3 (goals).</t>
        </is>
      </c>
    </row>
    <row r="39" ht="15.75" customHeight="1" s="38">
      <c r="B39" s="2" t="inlineStr">
        <is>
          <t>• S4: the sheet knows 3 games the app doesn’t (the “score not recorded” games at GW9/10/12) — the sheet’s appearance marks for them are kept, so S4 app-counts here are higher than on the site.</t>
        </is>
      </c>
    </row>
    <row r="40" ht="15.75" customHeight="1" s="38">
      <c r="B40" s="2" t="inlineStr">
        <is>
          <t>• New player from S7: Ahmed. The sheet still holds what the app lacks: assists, MOTM, champagne moments, comments, costs and the S8 fixtures. The app additionally holds photos, nicknames, positions, shirt numbers and a gallery.</t>
        </is>
      </c>
    </row>
    <row r="41" ht="15.75" customHeight="1" s="38">
      <c r="B41" s="2" t="inlineStr">
        <is>
          <t>• Friendlies AND forfeits are excluded from all records here (Isaac’s call, 31 Aug 2026), via the Type row: the S7 friendly vs Ref’s Mates, the S7 forfeits, the S3 GW1 walkover and the S5 GW8 forfeit. Their data stays visible in the grids but doesn’t count toward W/D/L, GF/GA or player totals.</t>
        </is>
      </c>
    </row>
    <row r="42" ht="15.75" customHeight="1" s="38">
      <c r="B42" s="2" t="inlineStr">
        <is>
          <t>• The old wide Attendance/Goals/Assists tabs, per-season results tabs, broken-reference blocks and the accidental s8 tab were replaced by the per-season tabs (all data migrated). Stray "Not paid" notes on S6 g12–g14 were dropped since pre-S8 seasons are settled — shout if that’s wrong.</t>
        </is>
      </c>
    </row>
    <row r="43" ht="15.75" customHeight="1" s="38">
      <c r="B43" s="2" t="inlineStr">
        <is>
          <t>• The old Rounds, Shirt number, 2025 snapshot and Season 1 invoice tabs (plus the broken wide tabs) were dropped — they live on in the original spreadsheet if ever needed.</t>
        </is>
      </c>
    </row>
    <row r="44" ht="15.75" customHeight="1" s="38">
      <c r="B44" s="2" t="n"/>
    </row>
    <row r="45" ht="15.75" customHeight="1" s="38">
      <c r="B45" s="2" t="inlineStr">
        <is>
          <t>Season 8 fixtures loaded from playfootball.net (Whitechapel Tuesday 6’s, Premier League, "Season 2 2026") — 18 games, 1 Sep 2026 to 12 Jan 2027.</t>
        </is>
      </c>
    </row>
    <row r="46" ht="15.75" customHeight="1" s="38"/>
    <row r="47" ht="15.75" customHeight="1" s="38"/>
    <row r="48" ht="15.75" customHeight="1" s="38"/>
    <row r="49" ht="15.75" customHeight="1" s="38"/>
    <row r="50" ht="15.75" customHeight="1" s="38"/>
    <row r="51" ht="15.75" customHeight="1" s="38"/>
    <row r="52" ht="15.75" customHeight="1" s="38"/>
    <row r="53" ht="15.75" customHeight="1" s="38"/>
    <row r="54" ht="15.75" customHeight="1" s="38"/>
    <row r="55" ht="15.75" customHeight="1" s="38"/>
    <row r="56" ht="15.75" customHeight="1" s="38"/>
    <row r="57" ht="15.75" customHeight="1" s="38"/>
    <row r="58" ht="15.75" customHeight="1" s="38"/>
    <row r="59" ht="15.75" customHeight="1" s="38"/>
    <row r="60" ht="15.75" customHeight="1" s="38"/>
    <row r="61" ht="15.75" customHeight="1" s="38"/>
    <row r="62" ht="15.75" customHeight="1" s="38"/>
    <row r="63" ht="15.75" customHeight="1" s="38"/>
    <row r="64" ht="15.75" customHeight="1" s="38"/>
    <row r="65" ht="15.75" customHeight="1" s="38"/>
    <row r="66" ht="15.75" customHeight="1" s="38"/>
    <row r="67" ht="15.75" customHeight="1" s="38"/>
    <row r="68" ht="15.75" customHeight="1" s="38"/>
    <row r="69" ht="15.75" customHeight="1" s="38"/>
    <row r="70" ht="15.75" customHeight="1" s="38"/>
    <row r="71" ht="15.75" customHeight="1" s="38"/>
    <row r="72" ht="15.75" customHeight="1" s="38"/>
    <row r="73" ht="15.75" customHeight="1" s="38"/>
    <row r="74" ht="15.75" customHeight="1" s="38"/>
    <row r="75" ht="15.75" customHeight="1" s="38"/>
    <row r="76" ht="15.75" customHeight="1" s="38"/>
    <row r="77" ht="15.75" customHeight="1" s="38"/>
    <row r="78" ht="15.75" customHeight="1" s="38"/>
    <row r="79" ht="15.75" customHeight="1" s="38"/>
    <row r="80" ht="15.75" customHeight="1" s="38"/>
    <row r="81" ht="15.75" customHeight="1" s="38"/>
    <row r="82" ht="15.75" customHeight="1" s="38"/>
    <row r="83" ht="15.75" customHeight="1" s="38"/>
    <row r="84" ht="15.75" customHeight="1" s="38"/>
    <row r="85" ht="15.75" customHeight="1" s="38"/>
    <row r="86" ht="15.75" customHeight="1" s="38"/>
    <row r="87" ht="15.75" customHeight="1" s="38"/>
    <row r="88" ht="15.75" customHeight="1" s="38"/>
    <row r="89" ht="15.75" customHeight="1" s="38"/>
    <row r="90" ht="15.75" customHeight="1" s="38"/>
    <row r="91" ht="15.75" customHeight="1" s="38"/>
    <row r="92" ht="15.75" customHeight="1" s="38"/>
    <row r="93" ht="15.75" customHeight="1" s="38"/>
    <row r="94" ht="15.75" customHeight="1" s="38"/>
    <row r="95" ht="15.75" customHeight="1" s="38"/>
    <row r="96" ht="15.75" customHeight="1" s="38"/>
    <row r="97" ht="15.75" customHeight="1" s="38"/>
    <row r="98" ht="15.75" customHeight="1" s="38"/>
    <row r="99" ht="15.75" customHeight="1" s="38"/>
    <row r="100" ht="15.75" customHeight="1" s="38"/>
    <row r="101" ht="15.75" customHeight="1" s="38"/>
    <row r="102" ht="15.75" customHeight="1" s="38"/>
    <row r="103" ht="15.75" customHeight="1" s="38"/>
    <row r="104" ht="15.75" customHeight="1" s="38"/>
    <row r="105" ht="15.75" customHeight="1" s="38"/>
    <row r="106" ht="15.75" customHeight="1" s="38"/>
    <row r="107" ht="15.75" customHeight="1" s="38"/>
    <row r="108" ht="15.75" customHeight="1" s="38"/>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1 · Play5aside Hoxton (sand, 5-a-side) · Sep–Nov 2024</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45546</v>
      </c>
      <c r="C3" s="9" t="n">
        <v>45553</v>
      </c>
      <c r="D3" s="9" t="n">
        <v>45560</v>
      </c>
      <c r="E3" s="9" t="n">
        <v>45567</v>
      </c>
      <c r="F3" s="9" t="n">
        <v>45574</v>
      </c>
      <c r="G3" s="9" t="n">
        <v>45581</v>
      </c>
      <c r="H3" s="9" t="n">
        <v>45588</v>
      </c>
      <c r="I3" s="9" t="n">
        <v>45595</v>
      </c>
      <c r="J3" s="9" t="n">
        <v>45602</v>
      </c>
      <c r="K3" s="9" t="n">
        <v>45609</v>
      </c>
      <c r="L3" s="9" t="n"/>
      <c r="M3" s="9" t="n"/>
      <c r="N3" s="9" t="n"/>
      <c r="O3" s="9" t="n"/>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MBS</t>
        </is>
      </c>
      <c r="C5" s="12" t="inlineStr">
        <is>
          <t>Barkways Sisters</t>
        </is>
      </c>
      <c r="D5" s="12" t="inlineStr">
        <is>
          <t>Safe FC</t>
        </is>
      </c>
      <c r="E5" s="12" t="inlineStr">
        <is>
          <t>Hardly Athletic</t>
        </is>
      </c>
      <c r="F5" s="12" t="inlineStr">
        <is>
          <t>Clapham Casuals</t>
        </is>
      </c>
      <c r="G5" s="12" t="inlineStr">
        <is>
          <t>MBS</t>
        </is>
      </c>
      <c r="H5" s="12" t="inlineStr">
        <is>
          <t>Barkways Sisters</t>
        </is>
      </c>
      <c r="I5" s="12" t="inlineStr">
        <is>
          <t>Safe FC</t>
        </is>
      </c>
      <c r="J5" s="12" t="inlineStr">
        <is>
          <t>Hardly Athletic</t>
        </is>
      </c>
      <c r="K5" s="12" t="inlineStr">
        <is>
          <t>Clapham Casuals</t>
        </is>
      </c>
      <c r="L5" s="12" t="n"/>
      <c r="M5" s="12" t="n"/>
      <c r="N5" s="12" t="n"/>
      <c r="O5" s="12" t="n"/>
      <c r="P5" s="12" t="n"/>
      <c r="Q5" s="12" t="n"/>
      <c r="R5" s="12" t="n"/>
      <c r="S5" s="12" t="n"/>
      <c r="T5" s="12" t="n"/>
      <c r="U5" s="12" t="n"/>
      <c r="X5" s="7" t="inlineStr">
        <is>
          <t>Drawn</t>
        </is>
      </c>
      <c r="Y5" s="10">
        <f>SUMPRODUCT(($B$9:$U$9="D")*($B$16:$U$16=""))</f>
        <v/>
      </c>
    </row>
    <row r="6">
      <c r="A6" s="8" t="inlineStr">
        <is>
          <t>Our goals</t>
        </is>
      </c>
      <c r="B6" s="26" t="n">
        <v>3</v>
      </c>
      <c r="C6" s="26" t="n">
        <v>4</v>
      </c>
      <c r="D6" s="26" t="n">
        <v>1</v>
      </c>
      <c r="E6" s="26" t="n">
        <v>0</v>
      </c>
      <c r="F6" s="26" t="n">
        <v>2</v>
      </c>
      <c r="G6" s="26" t="n">
        <v>5</v>
      </c>
      <c r="H6" s="26" t="n">
        <v>3</v>
      </c>
      <c r="I6" s="26" t="n">
        <v>2</v>
      </c>
      <c r="J6" s="26" t="n">
        <v>3</v>
      </c>
      <c r="K6" s="26" t="n">
        <v>1</v>
      </c>
      <c r="L6" s="26" t="n"/>
      <c r="M6" s="26" t="n"/>
      <c r="N6" s="26" t="n"/>
      <c r="O6" s="26" t="n"/>
      <c r="P6" s="26" t="n"/>
      <c r="Q6" s="26" t="n"/>
      <c r="R6" s="26" t="n"/>
      <c r="S6" s="26" t="n"/>
      <c r="T6" s="26" t="n"/>
      <c r="U6" s="26" t="n"/>
      <c r="X6" s="7" t="inlineStr">
        <is>
          <t>Lost</t>
        </is>
      </c>
      <c r="Y6" s="10">
        <f>SUMPRODUCT(($B$9:$U$9="L")*($B$16:$U$16=""))</f>
        <v/>
      </c>
    </row>
    <row r="7">
      <c r="A7" s="8" t="inlineStr">
        <is>
          <t>Their goals</t>
        </is>
      </c>
      <c r="B7" s="26" t="n">
        <v>11</v>
      </c>
      <c r="C7" s="26" t="n">
        <v>3</v>
      </c>
      <c r="D7" s="26" t="n">
        <v>5</v>
      </c>
      <c r="E7" s="26" t="n">
        <v>3</v>
      </c>
      <c r="F7" s="26" t="n">
        <v>1</v>
      </c>
      <c r="G7" s="26" t="n">
        <v>9</v>
      </c>
      <c r="H7" s="26" t="n">
        <v>3</v>
      </c>
      <c r="I7" s="26" t="n">
        <v>5</v>
      </c>
      <c r="J7" s="26" t="n">
        <v>2</v>
      </c>
      <c r="K7" s="26" t="n">
        <v>2</v>
      </c>
      <c r="L7" s="26" t="n"/>
      <c r="M7" s="26" t="n"/>
      <c r="N7" s="26" t="n"/>
      <c r="O7" s="26" t="n"/>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inlineStr">
        <is>
          <t>Isaac Mond</t>
        </is>
      </c>
      <c r="C10" s="27" t="inlineStr">
        <is>
          <t>Callum McCarthy</t>
        </is>
      </c>
      <c r="D10" s="27" t="inlineStr">
        <is>
          <t>Phil Knott</t>
        </is>
      </c>
      <c r="E10" s="27" t="inlineStr">
        <is>
          <t>Henry Linklater</t>
        </is>
      </c>
      <c r="F10" s="27" t="inlineStr">
        <is>
          <t>Max Cobain</t>
        </is>
      </c>
      <c r="G10" s="27" t="inlineStr">
        <is>
          <t>Sam Holt</t>
        </is>
      </c>
      <c r="H10" s="27" t="inlineStr">
        <is>
          <t>Andy Cowan</t>
        </is>
      </c>
      <c r="I10" s="27" t="inlineStr">
        <is>
          <t>Phil Knott</t>
        </is>
      </c>
      <c r="J10" s="27" t="inlineStr">
        <is>
          <t>Sam Holt</t>
        </is>
      </c>
      <c r="K10" s="27" t="inlineStr">
        <is>
          <t>Isaac Mond</t>
        </is>
      </c>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inlineStr">
        <is>
          <t>Henry Linklater</t>
        </is>
      </c>
      <c r="C11" s="27" t="inlineStr">
        <is>
          <t>Max Cobain</t>
        </is>
      </c>
      <c r="D11" s="27" t="n"/>
      <c r="E11" s="27" t="inlineStr">
        <is>
          <t>Max Cobain</t>
        </is>
      </c>
      <c r="F11" s="27" t="inlineStr">
        <is>
          <t>Abdul</t>
        </is>
      </c>
      <c r="G11" s="27" t="n"/>
      <c r="H11" s="27" t="inlineStr">
        <is>
          <t>Ben Merrett</t>
        </is>
      </c>
      <c r="I11" s="27" t="n"/>
      <c r="J11" s="27" t="inlineStr">
        <is>
          <t>Neeraj Radia</t>
        </is>
      </c>
      <c r="K11" s="27" t="inlineStr">
        <is>
          <t>Isaac Mond</t>
        </is>
      </c>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inlineStr">
        <is>
          <t>Phantom pullback</t>
        </is>
      </c>
      <c r="D12" s="17" t="n"/>
      <c r="E12" s="17" t="inlineStr">
        <is>
          <t>"Anyone want to sub off"</t>
        </is>
      </c>
      <c r="F12" s="17" t="inlineStr">
        <is>
          <t>Tackled by his own teammate</t>
        </is>
      </c>
      <c r="G12" s="17" t="n"/>
      <c r="H12" s="17" t="inlineStr">
        <is>
          <t>Shooting from kick off</t>
        </is>
      </c>
      <c r="I12" s="17" t="n"/>
      <c r="J12" s="17" t="inlineStr">
        <is>
          <t>Claiming 4 assists</t>
        </is>
      </c>
      <c r="K12" s="17" t="inlineStr">
        <is>
          <t>5 yard freekick</t>
        </is>
      </c>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c r="C20" s="27" t="n"/>
      <c r="D20" s="27" t="n">
        <v>1</v>
      </c>
      <c r="E20" s="27" t="n"/>
      <c r="F20" s="27" t="n"/>
      <c r="G20" s="27" t="n">
        <v>1</v>
      </c>
      <c r="H20" s="27" t="n">
        <v>1</v>
      </c>
      <c r="I20" s="27" t="n"/>
      <c r="J20" s="27" t="n"/>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c r="C21" s="27" t="n"/>
      <c r="D21" s="27" t="n"/>
      <c r="E21" s="27" t="n"/>
      <c r="F21" s="27" t="n">
        <v>1</v>
      </c>
      <c r="G21" s="27" t="n"/>
      <c r="H21" s="27" t="n">
        <v>1</v>
      </c>
      <c r="I21" s="27" t="n">
        <v>1</v>
      </c>
      <c r="J21" s="27" t="n">
        <v>1</v>
      </c>
      <c r="K21" s="27" t="n">
        <v>1</v>
      </c>
      <c r="L21" s="27" t="n"/>
      <c r="M21" s="27" t="n"/>
      <c r="N21" s="27" t="n"/>
      <c r="O21" s="27" t="n"/>
      <c r="P21" s="27" t="n"/>
      <c r="Q21" s="27" t="n"/>
      <c r="R21" s="27" t="n"/>
      <c r="S21" s="27" t="n"/>
      <c r="T21" s="27" t="n"/>
      <c r="U21" s="27" t="n"/>
      <c r="V21" s="24">
        <f>SUMPRODUCT(B21:U21*($B$16:$U$16=""))</f>
        <v/>
      </c>
      <c r="W21" s="20">
        <f>SUMPRODUCT($B21:$U21,$B$15:$U$15)</f>
        <v/>
      </c>
    </row>
    <row r="22" ht="15.75" customHeight="1" s="38">
      <c r="A22" s="23" t="inlineStr">
        <is>
          <t>Callum McCarthy</t>
        </is>
      </c>
      <c r="B22" s="27" t="n"/>
      <c r="C22" s="27" t="n">
        <v>1</v>
      </c>
      <c r="D22" s="27" t="n"/>
      <c r="E22" s="27" t="n">
        <v>1</v>
      </c>
      <c r="F22" s="27" t="n"/>
      <c r="G22" s="27" t="n">
        <v>1</v>
      </c>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v>1</v>
      </c>
      <c r="J23" s="27" t="n">
        <v>1</v>
      </c>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v>1</v>
      </c>
      <c r="C27" s="27" t="n">
        <v>1</v>
      </c>
      <c r="D27" s="27" t="n">
        <v>1</v>
      </c>
      <c r="E27" s="27" t="n"/>
      <c r="F27" s="27" t="n"/>
      <c r="G27" s="27" t="n">
        <v>1</v>
      </c>
      <c r="H27" s="27" t="n"/>
      <c r="I27" s="27" t="n">
        <v>1</v>
      </c>
      <c r="J27" s="27" t="n"/>
      <c r="K27" s="27" t="n"/>
      <c r="L27" s="27" t="n"/>
      <c r="M27" s="27" t="n"/>
      <c r="N27" s="27" t="n"/>
      <c r="O27" s="27" t="n"/>
      <c r="P27" s="27" t="n"/>
      <c r="Q27" s="27" t="n"/>
      <c r="R27" s="27" t="n"/>
      <c r="S27" s="27" t="n"/>
      <c r="T27" s="27" t="n"/>
      <c r="U27" s="27" t="n"/>
      <c r="V27" s="24">
        <f>SUMPRODUCT(B27:U27*($B$16:$U$16=""))</f>
        <v/>
      </c>
      <c r="W27" s="20">
        <f>SUMPRODUCT($B27:$U27,$B$15:$U$15)</f>
        <v/>
      </c>
    </row>
    <row r="28" ht="15.75" customHeight="1" s="38">
      <c r="A28" s="23" t="inlineStr">
        <is>
          <t>Henry Linklater</t>
        </is>
      </c>
      <c r="B28" s="27" t="n">
        <v>1</v>
      </c>
      <c r="C28" s="27" t="n">
        <v>1</v>
      </c>
      <c r="D28" s="27" t="n"/>
      <c r="E28" s="27" t="n">
        <v>1</v>
      </c>
      <c r="F28" s="27" t="n">
        <v>1</v>
      </c>
      <c r="G28" s="27" t="n">
        <v>1</v>
      </c>
      <c r="H28" s="27" t="n">
        <v>1</v>
      </c>
      <c r="I28" s="27" t="n"/>
      <c r="J28" s="27" t="n">
        <v>1</v>
      </c>
      <c r="K28" s="27" t="n">
        <v>1</v>
      </c>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v>1</v>
      </c>
      <c r="C29" s="27" t="n"/>
      <c r="D29" s="27" t="n"/>
      <c r="E29" s="27" t="n">
        <v>1</v>
      </c>
      <c r="F29" s="27" t="n">
        <v>1</v>
      </c>
      <c r="G29" s="27" t="n">
        <v>1</v>
      </c>
      <c r="H29" s="27" t="n">
        <v>1</v>
      </c>
      <c r="I29" s="27" t="n">
        <v>1</v>
      </c>
      <c r="J29" s="27" t="n">
        <v>1</v>
      </c>
      <c r="K29" s="27" t="n">
        <v>1</v>
      </c>
      <c r="L29" s="27" t="n"/>
      <c r="M29" s="27" t="n"/>
      <c r="N29" s="27" t="n"/>
      <c r="O29" s="27" t="n"/>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v>1</v>
      </c>
      <c r="C34" s="27" t="n">
        <v>1</v>
      </c>
      <c r="D34" s="27" t="n">
        <v>1</v>
      </c>
      <c r="E34" s="27" t="n">
        <v>1</v>
      </c>
      <c r="F34" s="27" t="n">
        <v>1</v>
      </c>
      <c r="G34" s="27" t="n">
        <v>1</v>
      </c>
      <c r="H34" s="27" t="n">
        <v>1</v>
      </c>
      <c r="I34" s="27" t="n"/>
      <c r="J34" s="27" t="n"/>
      <c r="K34" s="27" t="n">
        <v>1</v>
      </c>
      <c r="L34" s="27" t="n"/>
      <c r="M34" s="27" t="n"/>
      <c r="N34" s="27" t="n"/>
      <c r="O34" s="27" t="n"/>
      <c r="P34" s="27" t="n"/>
      <c r="Q34" s="27" t="n"/>
      <c r="R34" s="27" t="n"/>
      <c r="S34" s="27" t="n"/>
      <c r="T34" s="27" t="n"/>
      <c r="U34" s="27" t="n"/>
      <c r="V34" s="24">
        <f>SUMPRODUCT(B34:U34*($B$16:$U$16=""))</f>
        <v/>
      </c>
      <c r="W34" s="20">
        <f>SUMPRODUCT($B34:$U34,$B$15:$U$15)</f>
        <v/>
      </c>
    </row>
    <row r="35" ht="15.75" customHeight="1" s="38">
      <c r="A35" s="23" t="inlineStr">
        <is>
          <t>Neeraj Radia</t>
        </is>
      </c>
      <c r="B35" s="27" t="n"/>
      <c r="C35" s="27" t="n">
        <v>1</v>
      </c>
      <c r="D35" s="27" t="n">
        <v>1</v>
      </c>
      <c r="E35" s="27" t="n">
        <v>1</v>
      </c>
      <c r="F35" s="27" t="n">
        <v>1</v>
      </c>
      <c r="G35" s="27" t="n">
        <v>1</v>
      </c>
      <c r="H35" s="27" t="n">
        <v>1</v>
      </c>
      <c r="I35" s="27" t="n">
        <v>1</v>
      </c>
      <c r="J35" s="27" t="n">
        <v>1</v>
      </c>
      <c r="K35" s="27" t="n">
        <v>1</v>
      </c>
      <c r="L35" s="27" t="n"/>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v>1</v>
      </c>
      <c r="C36" s="27" t="n">
        <v>1</v>
      </c>
      <c r="D36" s="27" t="n">
        <v>1</v>
      </c>
      <c r="E36" s="27" t="n">
        <v>1</v>
      </c>
      <c r="F36" s="27" t="n">
        <v>1</v>
      </c>
      <c r="G36" s="27" t="n">
        <v>1</v>
      </c>
      <c r="H36" s="27" t="n">
        <v>1</v>
      </c>
      <c r="I36" s="27" t="n">
        <v>1</v>
      </c>
      <c r="J36" s="27" t="n">
        <v>1</v>
      </c>
      <c r="K36" s="27" t="n">
        <v>1</v>
      </c>
      <c r="L36" s="27" t="n"/>
      <c r="M36" s="27" t="n"/>
      <c r="N36" s="27" t="n"/>
      <c r="O36" s="27" t="n"/>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v>1</v>
      </c>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v>1</v>
      </c>
      <c r="C38" s="27" t="n"/>
      <c r="D38" s="27" t="n"/>
      <c r="E38" s="27" t="n">
        <v>1</v>
      </c>
      <c r="F38" s="27" t="n">
        <v>1</v>
      </c>
      <c r="G38" s="27" t="n">
        <v>1</v>
      </c>
      <c r="H38" s="27" t="n"/>
      <c r="I38" s="27" t="n"/>
      <c r="J38" s="27" t="n">
        <v>1</v>
      </c>
      <c r="K38" s="27" t="n">
        <v>1</v>
      </c>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v>1</v>
      </c>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v>1</v>
      </c>
      <c r="I52" s="27" t="n"/>
      <c r="J52" s="27" t="n"/>
      <c r="K52" s="27" t="n"/>
      <c r="L52" s="27" t="n"/>
      <c r="M52" s="27" t="n"/>
      <c r="N52" s="27" t="n"/>
      <c r="O52" s="27" t="n"/>
      <c r="P52" s="27" t="n"/>
      <c r="Q52" s="27" t="n"/>
      <c r="R52" s="27" t="n"/>
      <c r="S52" s="27" t="n"/>
      <c r="T52" s="27" t="n"/>
      <c r="U52" s="27" t="n"/>
      <c r="V52" s="24">
        <f>SUMPRODUCT(B52:U52*($B$16:$U$16=""))</f>
        <v/>
      </c>
    </row>
    <row r="53" ht="15.75" customHeight="1" s="38">
      <c r="A53" s="23">
        <f>IF($A22="","",$A22)</f>
        <v/>
      </c>
      <c r="B53" s="27" t="n"/>
      <c r="C53" s="27" t="n">
        <v>2</v>
      </c>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v>1</v>
      </c>
      <c r="C58" s="27" t="n"/>
      <c r="D58" s="27" t="n">
        <v>1</v>
      </c>
      <c r="E58" s="27" t="n"/>
      <c r="F58" s="27" t="n"/>
      <c r="G58" s="27" t="n">
        <v>1</v>
      </c>
      <c r="H58" s="27" t="n"/>
      <c r="I58" s="27" t="n"/>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v>1</v>
      </c>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v>1</v>
      </c>
      <c r="C65" s="27" t="n">
        <v>1</v>
      </c>
      <c r="D65" s="27" t="n"/>
      <c r="E65" s="27" t="n"/>
      <c r="F65" s="27" t="n">
        <v>1</v>
      </c>
      <c r="G65" s="27" t="n"/>
      <c r="H65" s="27" t="n"/>
      <c r="I65" s="27" t="n"/>
      <c r="J65" s="27" t="n"/>
      <c r="K65" s="27" t="n">
        <v>1</v>
      </c>
      <c r="L65" s="27" t="n"/>
      <c r="M65" s="27" t="n"/>
      <c r="N65" s="27" t="n"/>
      <c r="O65" s="27" t="n"/>
      <c r="P65" s="27" t="n"/>
      <c r="Q65" s="27" t="n"/>
      <c r="R65" s="27" t="n"/>
      <c r="S65" s="27" t="n"/>
      <c r="T65" s="27" t="n"/>
      <c r="U65" s="27" t="n"/>
      <c r="V65" s="24">
        <f>SUMPRODUCT(B65:U65*($B$16:$U$16=""))</f>
        <v/>
      </c>
    </row>
    <row r="66" ht="15.75" customHeight="1" s="38">
      <c r="A66" s="23">
        <f>IF($A35="","",$A35)</f>
        <v/>
      </c>
      <c r="B66" s="27" t="n"/>
      <c r="C66" s="27" t="n">
        <v>1</v>
      </c>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c r="C67" s="27" t="n"/>
      <c r="D67" s="27" t="n"/>
      <c r="E67" s="27" t="n"/>
      <c r="F67" s="27" t="n">
        <v>1</v>
      </c>
      <c r="G67" s="27" t="n"/>
      <c r="H67" s="27" t="n"/>
      <c r="I67" s="27" t="n">
        <v>2</v>
      </c>
      <c r="J67" s="27" t="n">
        <v>1</v>
      </c>
      <c r="K67" s="27" t="n"/>
      <c r="L67" s="27" t="n"/>
      <c r="M67" s="27" t="n"/>
      <c r="N67" s="27" t="n"/>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v>1</v>
      </c>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v>1</v>
      </c>
      <c r="C69" s="27" t="n"/>
      <c r="D69" s="27" t="n"/>
      <c r="E69" s="27" t="n"/>
      <c r="F69" s="27" t="n"/>
      <c r="G69" s="27" t="n">
        <v>2</v>
      </c>
      <c r="H69" s="27" t="n"/>
      <c r="I69" s="27" t="n"/>
      <c r="J69" s="27" t="n">
        <v>2</v>
      </c>
      <c r="K69" s="27" t="n"/>
      <c r="L69" s="27" t="n"/>
      <c r="M69" s="27" t="n"/>
      <c r="N69" s="27" t="n"/>
      <c r="O69" s="27" t="n"/>
      <c r="P69" s="27" t="n"/>
      <c r="Q69" s="27" t="n"/>
      <c r="R69" s="27" t="n"/>
      <c r="S69" s="27" t="n"/>
      <c r="T69" s="27" t="n"/>
      <c r="U69" s="27" t="n"/>
      <c r="V69" s="24">
        <f>SUMPRODUCT(B69:U69*($B$16:$U$16=""))</f>
        <v/>
      </c>
    </row>
    <row r="70" ht="15.75" customHeight="1" s="38">
      <c r="A70" s="23">
        <f>IF($A39="","",$A39)</f>
        <v/>
      </c>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v>2</v>
      </c>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v>1</v>
      </c>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v>1</v>
      </c>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v>1</v>
      </c>
      <c r="C91" s="27" t="n"/>
      <c r="D91" s="27" t="n"/>
      <c r="E91" s="27" t="n"/>
      <c r="F91" s="27" t="n"/>
      <c r="G91" s="27" t="n">
        <v>1</v>
      </c>
      <c r="H91" s="27" t="n">
        <v>1</v>
      </c>
      <c r="I91" s="27" t="n">
        <v>1</v>
      </c>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v>1</v>
      </c>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v>1</v>
      </c>
      <c r="D97" s="27" t="n"/>
      <c r="E97" s="27" t="n"/>
      <c r="F97" s="27" t="n"/>
      <c r="G97" s="27" t="n"/>
      <c r="H97" s="27" t="n"/>
      <c r="I97" s="27" t="n">
        <v>1</v>
      </c>
      <c r="J97" s="27" t="n">
        <v>1</v>
      </c>
      <c r="K97" s="27" t="n"/>
      <c r="L97" s="27" t="n"/>
      <c r="M97" s="27" t="n"/>
      <c r="N97" s="27" t="n"/>
      <c r="O97" s="27" t="n"/>
      <c r="P97" s="27" t="n"/>
      <c r="Q97" s="27" t="n"/>
      <c r="R97" s="27" t="n"/>
      <c r="S97" s="27" t="n"/>
      <c r="T97" s="27" t="n"/>
      <c r="U97" s="27" t="n"/>
      <c r="V97" s="24">
        <f>SUMPRODUCT(B97:U97*($B$16:$U$16=""))</f>
        <v/>
      </c>
    </row>
    <row r="98" ht="15.75" customHeight="1" s="38">
      <c r="A98" s="23">
        <f>IF($A36="","",$A36)</f>
        <v/>
      </c>
      <c r="B98" s="27" t="n">
        <v>2</v>
      </c>
      <c r="C98" s="27" t="n">
        <v>1</v>
      </c>
      <c r="D98" s="27" t="n"/>
      <c r="E98" s="27" t="n"/>
      <c r="F98" s="27" t="n"/>
      <c r="G98" s="27" t="n">
        <v>1</v>
      </c>
      <c r="H98" s="27" t="n">
        <v>1</v>
      </c>
      <c r="I98" s="27" t="n"/>
      <c r="J98" s="27" t="n"/>
      <c r="K98" s="27" t="n">
        <v>1</v>
      </c>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2 · Powerleague Shoreditch (5G, 7-a-side) · Nov 2024–Jan 2025</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45624</v>
      </c>
      <c r="C3" s="9" t="n">
        <v>45631</v>
      </c>
      <c r="D3" s="9" t="n">
        <v>45638</v>
      </c>
      <c r="E3" s="9" t="n">
        <v>45645</v>
      </c>
      <c r="F3" s="9" t="n">
        <v>45666</v>
      </c>
      <c r="G3" s="9" t="n">
        <v>45673</v>
      </c>
      <c r="H3" s="9" t="n">
        <v>45680</v>
      </c>
      <c r="I3" s="9" t="n">
        <v>45687</v>
      </c>
      <c r="J3" s="9" t="n"/>
      <c r="K3" s="9" t="n"/>
      <c r="L3" s="9" t="n"/>
      <c r="M3" s="9" t="n"/>
      <c r="N3" s="9" t="n"/>
      <c r="O3" s="9" t="n"/>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Dalston Eagles</t>
        </is>
      </c>
      <c r="C5" s="12" t="inlineStr">
        <is>
          <t>Mutus</t>
        </is>
      </c>
      <c r="D5" s="12" t="inlineStr">
        <is>
          <t>LCG United</t>
        </is>
      </c>
      <c r="E5" s="12" t="inlineStr">
        <is>
          <t>Brighton</t>
        </is>
      </c>
      <c r="F5" s="12" t="inlineStr">
        <is>
          <t>City ACS</t>
        </is>
      </c>
      <c r="G5" s="12" t="inlineStr">
        <is>
          <t>Dalston Eagles</t>
        </is>
      </c>
      <c r="H5" s="12" t="inlineStr">
        <is>
          <t>Mutus</t>
        </is>
      </c>
      <c r="I5" s="12" t="inlineStr">
        <is>
          <t>LCG United</t>
        </is>
      </c>
      <c r="J5" s="12" t="n"/>
      <c r="K5" s="12" t="n"/>
      <c r="L5" s="12" t="n"/>
      <c r="M5" s="12" t="n"/>
      <c r="N5" s="12" t="n"/>
      <c r="O5" s="12" t="n"/>
      <c r="P5" s="12" t="n"/>
      <c r="Q5" s="12" t="n"/>
      <c r="R5" s="12" t="n"/>
      <c r="S5" s="12" t="n"/>
      <c r="T5" s="12" t="n"/>
      <c r="U5" s="12" t="n"/>
      <c r="X5" s="7" t="inlineStr">
        <is>
          <t>Drawn</t>
        </is>
      </c>
      <c r="Y5" s="10">
        <f>SUMPRODUCT(($B$9:$U$9="D")*($B$16:$U$16=""))</f>
        <v/>
      </c>
    </row>
    <row r="6">
      <c r="A6" s="8" t="inlineStr">
        <is>
          <t>Our goals</t>
        </is>
      </c>
      <c r="B6" s="26" t="n">
        <v>3</v>
      </c>
      <c r="C6" s="26" t="n">
        <v>0</v>
      </c>
      <c r="D6" s="26" t="n">
        <v>2</v>
      </c>
      <c r="E6" s="26" t="n">
        <v>8</v>
      </c>
      <c r="F6" s="26" t="n">
        <v>4</v>
      </c>
      <c r="G6" s="26" t="n">
        <v>2</v>
      </c>
      <c r="H6" s="26" t="n">
        <v>2</v>
      </c>
      <c r="I6" s="26" t="n">
        <v>5</v>
      </c>
      <c r="J6" s="26" t="n"/>
      <c r="K6" s="26" t="n"/>
      <c r="L6" s="26" t="n"/>
      <c r="M6" s="26" t="n"/>
      <c r="N6" s="26" t="n"/>
      <c r="O6" s="26" t="n"/>
      <c r="P6" s="26" t="n"/>
      <c r="Q6" s="26" t="n"/>
      <c r="R6" s="26" t="n"/>
      <c r="S6" s="26" t="n"/>
      <c r="T6" s="26" t="n"/>
      <c r="U6" s="26" t="n"/>
      <c r="X6" s="7" t="inlineStr">
        <is>
          <t>Lost</t>
        </is>
      </c>
      <c r="Y6" s="10">
        <f>SUMPRODUCT(($B$9:$U$9="L")*($B$16:$U$16=""))</f>
        <v/>
      </c>
    </row>
    <row r="7">
      <c r="A7" s="8" t="inlineStr">
        <is>
          <t>Their goals</t>
        </is>
      </c>
      <c r="B7" s="26" t="n">
        <v>10</v>
      </c>
      <c r="C7" s="26" t="n">
        <v>5</v>
      </c>
      <c r="D7" s="26" t="n">
        <v>5</v>
      </c>
      <c r="E7" s="26" t="n">
        <v>2</v>
      </c>
      <c r="F7" s="26" t="n">
        <v>3</v>
      </c>
      <c r="G7" s="26" t="n">
        <v>8</v>
      </c>
      <c r="H7" s="26" t="n">
        <v>11</v>
      </c>
      <c r="I7" s="26" t="n">
        <v>4</v>
      </c>
      <c r="J7" s="26" t="n"/>
      <c r="K7" s="26" t="n"/>
      <c r="L7" s="26" t="n"/>
      <c r="M7" s="26" t="n"/>
      <c r="N7" s="26" t="n"/>
      <c r="O7" s="26" t="n"/>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inlineStr">
        <is>
          <t>Sam Holt</t>
        </is>
      </c>
      <c r="C10" s="27" t="inlineStr">
        <is>
          <t>Henry Linklater</t>
        </is>
      </c>
      <c r="D10" s="27" t="inlineStr">
        <is>
          <t>Andy Cowan</t>
        </is>
      </c>
      <c r="E10" s="27" t="inlineStr">
        <is>
          <t>Finn Cawley</t>
        </is>
      </c>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v>1</v>
      </c>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v>1</v>
      </c>
      <c r="C20" s="27" t="n">
        <v>1</v>
      </c>
      <c r="D20" s="27" t="n">
        <v>1</v>
      </c>
      <c r="E20" s="27" t="n"/>
      <c r="F20" s="27" t="n">
        <v>1</v>
      </c>
      <c r="G20" s="27" t="n">
        <v>1</v>
      </c>
      <c r="H20" s="27" t="n"/>
      <c r="I20" s="27" t="n">
        <v>1</v>
      </c>
      <c r="J20" s="27" t="n"/>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c r="C21" s="27" t="n"/>
      <c r="D21" s="27" t="n">
        <v>1</v>
      </c>
      <c r="E21" s="27" t="n"/>
      <c r="F21" s="27" t="n">
        <v>1</v>
      </c>
      <c r="G21" s="27" t="n">
        <v>1</v>
      </c>
      <c r="H21" s="27" t="n">
        <v>1</v>
      </c>
      <c r="I21" s="27" t="n"/>
      <c r="J21" s="27" t="n"/>
      <c r="K21" s="27" t="n"/>
      <c r="L21" s="27" t="n"/>
      <c r="M21" s="27" t="n"/>
      <c r="N21" s="27" t="n"/>
      <c r="O21" s="27" t="n"/>
      <c r="P21" s="27" t="n"/>
      <c r="Q21" s="27" t="n"/>
      <c r="R21" s="27" t="n"/>
      <c r="S21" s="27" t="n"/>
      <c r="T21" s="27" t="n"/>
      <c r="U21" s="27" t="n"/>
      <c r="V21" s="24">
        <f>SUMPRODUCT(B21:U21*($B$16:$U$16=""))</f>
        <v/>
      </c>
      <c r="W21" s="20">
        <f>SUMPRODUCT($B21:$U21,$B$15:$U$15)</f>
        <v/>
      </c>
    </row>
    <row r="22" ht="15.75" customHeight="1" s="38">
      <c r="A22" s="23" t="inlineStr">
        <is>
          <t>Callum McCarthy</t>
        </is>
      </c>
      <c r="B22" s="27" t="n">
        <v>1</v>
      </c>
      <c r="C22" s="27" t="n">
        <v>1</v>
      </c>
      <c r="D22" s="27" t="n"/>
      <c r="E22" s="27" t="n"/>
      <c r="F22" s="27" t="n"/>
      <c r="G22" s="27" t="n"/>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c r="C26" s="27" t="n"/>
      <c r="D26" s="27" t="n"/>
      <c r="E26" s="27" t="n">
        <v>1</v>
      </c>
      <c r="F26" s="27" t="n">
        <v>1</v>
      </c>
      <c r="G26" s="27" t="n">
        <v>1</v>
      </c>
      <c r="H26" s="27" t="n"/>
      <c r="I26" s="27" t="n">
        <v>1</v>
      </c>
      <c r="J26" s="27" t="n"/>
      <c r="K26" s="27" t="n"/>
      <c r="L26" s="27" t="n"/>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c r="C27" s="27" t="n">
        <v>1</v>
      </c>
      <c r="D27" s="27" t="n">
        <v>1</v>
      </c>
      <c r="E27" s="27" t="n"/>
      <c r="F27" s="27" t="n">
        <v>1</v>
      </c>
      <c r="G27" s="27" t="n"/>
      <c r="H27" s="27" t="n">
        <v>1</v>
      </c>
      <c r="I27" s="27" t="n">
        <v>1</v>
      </c>
      <c r="J27" s="27" t="n"/>
      <c r="K27" s="27" t="n"/>
      <c r="L27" s="27" t="n"/>
      <c r="M27" s="27" t="n"/>
      <c r="N27" s="27" t="n"/>
      <c r="O27" s="27" t="n"/>
      <c r="P27" s="27" t="n"/>
      <c r="Q27" s="27" t="n"/>
      <c r="R27" s="27" t="n"/>
      <c r="S27" s="27" t="n"/>
      <c r="T27" s="27" t="n"/>
      <c r="U27" s="27" t="n"/>
      <c r="V27" s="24">
        <f>SUMPRODUCT(B27:U27*($B$16:$U$16=""))</f>
        <v/>
      </c>
      <c r="W27" s="20">
        <f>SUMPRODUCT($B27:$U27,$B$15:$U$15)</f>
        <v/>
      </c>
    </row>
    <row r="28" ht="15.75" customHeight="1" s="38">
      <c r="A28" s="23" t="inlineStr">
        <is>
          <t>Henry Linklater</t>
        </is>
      </c>
      <c r="B28" s="27" t="n">
        <v>1</v>
      </c>
      <c r="C28" s="27" t="n">
        <v>1</v>
      </c>
      <c r="D28" s="27" t="n"/>
      <c r="E28" s="27" t="n">
        <v>1</v>
      </c>
      <c r="F28" s="27" t="n"/>
      <c r="G28" s="27" t="n">
        <v>1</v>
      </c>
      <c r="H28" s="27" t="n">
        <v>1</v>
      </c>
      <c r="I28" s="27" t="n">
        <v>1</v>
      </c>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v>1</v>
      </c>
      <c r="C29" s="27" t="n"/>
      <c r="D29" s="27" t="n">
        <v>1</v>
      </c>
      <c r="E29" s="27" t="n"/>
      <c r="F29" s="27" t="n">
        <v>1</v>
      </c>
      <c r="G29" s="27" t="n"/>
      <c r="H29" s="27" t="n"/>
      <c r="I29" s="27" t="n"/>
      <c r="J29" s="27" t="n"/>
      <c r="K29" s="27" t="n"/>
      <c r="L29" s="27" t="n"/>
      <c r="M29" s="27" t="n"/>
      <c r="N29" s="27" t="n"/>
      <c r="O29" s="27" t="n"/>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v>1</v>
      </c>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c r="C34" s="27" t="n"/>
      <c r="D34" s="27" t="n">
        <v>1</v>
      </c>
      <c r="E34" s="27" t="n"/>
      <c r="F34" s="27" t="n">
        <v>1</v>
      </c>
      <c r="G34" s="27" t="n">
        <v>1</v>
      </c>
      <c r="H34" s="27" t="n">
        <v>1</v>
      </c>
      <c r="I34" s="27" t="n">
        <v>1</v>
      </c>
      <c r="J34" s="27" t="n"/>
      <c r="K34" s="27" t="n"/>
      <c r="L34" s="27" t="n"/>
      <c r="M34" s="27" t="n"/>
      <c r="N34" s="27" t="n"/>
      <c r="O34" s="27" t="n"/>
      <c r="P34" s="27" t="n"/>
      <c r="Q34" s="27" t="n"/>
      <c r="R34" s="27" t="n"/>
      <c r="S34" s="27" t="n"/>
      <c r="T34" s="27" t="n"/>
      <c r="U34" s="27" t="n"/>
      <c r="V34" s="24">
        <f>SUMPRODUCT(B34:U34*($B$16:$U$16=""))</f>
        <v/>
      </c>
      <c r="W34" s="20">
        <f>SUMPRODUCT($B34:$U34,$B$15:$U$15)</f>
        <v/>
      </c>
    </row>
    <row r="35" ht="15.75" customHeight="1" s="38">
      <c r="A35" s="23" t="inlineStr">
        <is>
          <t>Neeraj Radia</t>
        </is>
      </c>
      <c r="B35" s="27" t="n"/>
      <c r="C35" s="27" t="n">
        <v>1</v>
      </c>
      <c r="D35" s="27" t="n"/>
      <c r="E35" s="27" t="n"/>
      <c r="F35" s="27" t="n">
        <v>1</v>
      </c>
      <c r="G35" s="27" t="n">
        <v>1</v>
      </c>
      <c r="H35" s="27" t="n"/>
      <c r="I35" s="27" t="n"/>
      <c r="J35" s="27" t="n"/>
      <c r="K35" s="27" t="n"/>
      <c r="L35" s="27" t="n"/>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v>1</v>
      </c>
      <c r="C36" s="27" t="n">
        <v>1</v>
      </c>
      <c r="D36" s="27" t="n">
        <v>1</v>
      </c>
      <c r="E36" s="27" t="n">
        <v>1</v>
      </c>
      <c r="F36" s="27" t="n"/>
      <c r="G36" s="27" t="n"/>
      <c r="H36" s="27" t="n"/>
      <c r="I36" s="27" t="n"/>
      <c r="J36" s="27" t="n"/>
      <c r="K36" s="27" t="n"/>
      <c r="L36" s="27" t="n"/>
      <c r="M36" s="27" t="n"/>
      <c r="N36" s="27" t="n"/>
      <c r="O36" s="27" t="n"/>
      <c r="P36" s="27" t="n"/>
      <c r="Q36" s="27" t="n"/>
      <c r="R36" s="27" t="n"/>
      <c r="S36" s="27" t="n"/>
      <c r="T36" s="27" t="n"/>
      <c r="U36" s="27" t="n"/>
      <c r="V36" s="24">
        <f>SUMPRODUCT(B36:U36*($B$16:$U$16=""))</f>
        <v/>
      </c>
      <c r="W36" s="20">
        <f>SUMPRODUCT($B36:$U36,$B$15:$U$15)</f>
        <v/>
      </c>
    </row>
    <row r="37" ht="15.75" customHeight="1" s="38">
      <c r="A37" s="23" t="inlineStr">
        <is>
          <t>Robin Watson</t>
        </is>
      </c>
      <c r="B37" s="27" t="n"/>
      <c r="C37" s="27" t="n">
        <v>1</v>
      </c>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v>1</v>
      </c>
      <c r="C38" s="27" t="n"/>
      <c r="D38" s="27" t="n">
        <v>1</v>
      </c>
      <c r="E38" s="27" t="n"/>
      <c r="F38" s="27" t="n">
        <v>1</v>
      </c>
      <c r="G38" s="27" t="n">
        <v>1</v>
      </c>
      <c r="H38" s="27" t="n">
        <v>1</v>
      </c>
      <c r="I38" s="27" t="n">
        <v>1</v>
      </c>
      <c r="J38" s="27" t="n"/>
      <c r="K38" s="27" t="n"/>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v>1</v>
      </c>
      <c r="C39" s="27" t="n">
        <v>1</v>
      </c>
      <c r="D39" s="27" t="n"/>
      <c r="E39" s="27" t="n">
        <v>1</v>
      </c>
      <c r="F39" s="27" t="n"/>
      <c r="G39" s="27" t="n">
        <v>1</v>
      </c>
      <c r="H39" s="27" t="n"/>
      <c r="I39" s="27" t="n">
        <v>1</v>
      </c>
      <c r="J39" s="27" t="n"/>
      <c r="K39" s="27" t="n"/>
      <c r="L39" s="27" t="n"/>
      <c r="M39" s="27" t="n"/>
      <c r="N39" s="27" t="n"/>
      <c r="O39" s="27" t="n"/>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c r="C57" s="27" t="n"/>
      <c r="D57" s="27" t="n"/>
      <c r="E57" s="27" t="n"/>
      <c r="F57" s="27" t="n">
        <v>2</v>
      </c>
      <c r="G57" s="27" t="n">
        <v>1</v>
      </c>
      <c r="H57" s="27" t="n"/>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c r="C58" s="27" t="n"/>
      <c r="D58" s="27" t="n"/>
      <c r="E58" s="27" t="n"/>
      <c r="F58" s="27" t="n"/>
      <c r="G58" s="27" t="n"/>
      <c r="H58" s="27" t="n"/>
      <c r="I58" s="27" t="n">
        <v>2</v>
      </c>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c r="C65" s="27" t="n"/>
      <c r="D65" s="27" t="n">
        <v>1</v>
      </c>
      <c r="E65" s="27" t="n"/>
      <c r="F65" s="27" t="n">
        <v>1</v>
      </c>
      <c r="G65" s="27" t="n">
        <v>1</v>
      </c>
      <c r="H65" s="27" t="n">
        <v>1</v>
      </c>
      <c r="I65" s="27" t="n"/>
      <c r="J65" s="27" t="n"/>
      <c r="K65" s="27" t="n"/>
      <c r="L65" s="27" t="n"/>
      <c r="M65" s="27" t="n"/>
      <c r="N65" s="27" t="n"/>
      <c r="O65" s="27" t="n"/>
      <c r="P65" s="27" t="n"/>
      <c r="Q65" s="27" t="n"/>
      <c r="R65" s="27" t="n"/>
      <c r="S65" s="27" t="n"/>
      <c r="T65" s="27" t="n"/>
      <c r="U65" s="27" t="n"/>
      <c r="V65" s="24">
        <f>SUMPRODUCT(B65:U65*($B$16:$U$16=""))</f>
        <v/>
      </c>
    </row>
    <row r="66" ht="15.75" customHeight="1" s="38">
      <c r="A66" s="23">
        <f>IF($A35="","",$A35)</f>
        <v/>
      </c>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c r="C67" s="27" t="n"/>
      <c r="D67" s="27" t="n"/>
      <c r="E67" s="27" t="n">
        <v>1</v>
      </c>
      <c r="F67" s="27" t="n"/>
      <c r="G67" s="27" t="n"/>
      <c r="H67" s="27" t="n"/>
      <c r="I67" s="27" t="n"/>
      <c r="J67" s="27" t="n"/>
      <c r="K67" s="27" t="n"/>
      <c r="L67" s="27" t="n"/>
      <c r="M67" s="27" t="n"/>
      <c r="N67" s="27" t="n"/>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v>1</v>
      </c>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v>1</v>
      </c>
      <c r="C70" s="27" t="n"/>
      <c r="D70" s="27" t="n"/>
      <c r="E70" s="27" t="n">
        <v>2</v>
      </c>
      <c r="F70" s="27" t="n"/>
      <c r="G70" s="27" t="n"/>
      <c r="H70" s="27" t="n"/>
      <c r="I70" s="27" t="n">
        <v>2</v>
      </c>
      <c r="J70" s="27" t="n"/>
      <c r="K70" s="27" t="n"/>
      <c r="L70" s="27" t="n"/>
      <c r="M70" s="27" t="n"/>
      <c r="N70" s="27" t="n"/>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v>1</v>
      </c>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v>1</v>
      </c>
      <c r="C98" s="27" t="n"/>
      <c r="D98" s="27" t="n">
        <v>1</v>
      </c>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3 · PlayFootball Old Street (5G, 6-a-side) · Mar–Jun 2025</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45742</v>
      </c>
      <c r="C3" s="9" t="n">
        <v>45743</v>
      </c>
      <c r="D3" s="9" t="n">
        <v>45750</v>
      </c>
      <c r="E3" s="9" t="n">
        <v>45757</v>
      </c>
      <c r="F3" s="9" t="n">
        <v>45764</v>
      </c>
      <c r="G3" s="9" t="n">
        <v>45771</v>
      </c>
      <c r="H3" s="9" t="n">
        <v>45778</v>
      </c>
      <c r="I3" s="9" t="n">
        <v>45785</v>
      </c>
      <c r="J3" s="9" t="n">
        <v>45792</v>
      </c>
      <c r="K3" s="9" t="n">
        <v>45799</v>
      </c>
      <c r="L3" s="9" t="n">
        <v>45806</v>
      </c>
      <c r="M3" s="9" t="n">
        <v>45813</v>
      </c>
      <c r="N3" s="9" t="n">
        <v>45820</v>
      </c>
      <c r="O3" s="9" t="n">
        <v>45827</v>
      </c>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Forfeit</t>
        </is>
      </c>
      <c r="C5" s="12" t="inlineStr">
        <is>
          <t>Enjoy Your Mane Jane</t>
        </is>
      </c>
      <c r="D5" s="12" t="inlineStr">
        <is>
          <t>Dukes Select</t>
        </is>
      </c>
      <c r="E5" s="12" t="inlineStr">
        <is>
          <t>Ding Cats</t>
        </is>
      </c>
      <c r="F5" s="12" t="inlineStr">
        <is>
          <t>Old Ivy</t>
        </is>
      </c>
      <c r="G5" s="12" t="inlineStr">
        <is>
          <t>Green of the South</t>
        </is>
      </c>
      <c r="H5" s="12" t="inlineStr">
        <is>
          <t>The Britannias</t>
        </is>
      </c>
      <c r="I5" s="12" t="inlineStr">
        <is>
          <t>Spudos</t>
        </is>
      </c>
      <c r="J5" s="12" t="inlineStr">
        <is>
          <t>Old Ivy</t>
        </is>
      </c>
      <c r="K5" s="12" t="inlineStr">
        <is>
          <t>Green of the South</t>
        </is>
      </c>
      <c r="L5" s="12" t="inlineStr">
        <is>
          <t>Ding Cats</t>
        </is>
      </c>
      <c r="M5" s="12" t="inlineStr">
        <is>
          <t>The Britannias</t>
        </is>
      </c>
      <c r="N5" s="12" t="inlineStr">
        <is>
          <t>Dukes Select</t>
        </is>
      </c>
      <c r="O5" s="12" t="inlineStr">
        <is>
          <t>Enjoy Your Mane Jane</t>
        </is>
      </c>
      <c r="P5" s="12" t="n"/>
      <c r="Q5" s="12" t="n"/>
      <c r="R5" s="12" t="n"/>
      <c r="S5" s="12" t="n"/>
      <c r="T5" s="12" t="n"/>
      <c r="U5" s="12" t="n"/>
      <c r="X5" s="7" t="inlineStr">
        <is>
          <t>Drawn</t>
        </is>
      </c>
      <c r="Y5" s="10">
        <f>SUMPRODUCT(($B$9:$U$9="D")*($B$16:$U$16=""))</f>
        <v/>
      </c>
    </row>
    <row r="6">
      <c r="A6" s="8" t="inlineStr">
        <is>
          <t>Our goals</t>
        </is>
      </c>
      <c r="B6" s="26" t="n">
        <v>8</v>
      </c>
      <c r="C6" s="26" t="n">
        <v>2</v>
      </c>
      <c r="D6" s="26" t="n">
        <v>1</v>
      </c>
      <c r="E6" s="26" t="n">
        <v>2</v>
      </c>
      <c r="F6" s="26" t="n">
        <v>4</v>
      </c>
      <c r="G6" s="26" t="n">
        <v>2</v>
      </c>
      <c r="H6" s="26" t="n">
        <v>1</v>
      </c>
      <c r="I6" s="26" t="n">
        <v>10</v>
      </c>
      <c r="J6" s="26" t="n">
        <v>3</v>
      </c>
      <c r="K6" s="26" t="n">
        <v>3</v>
      </c>
      <c r="L6" s="26" t="n">
        <v>1</v>
      </c>
      <c r="M6" s="26" t="n">
        <v>2</v>
      </c>
      <c r="N6" s="26" t="n">
        <v>3</v>
      </c>
      <c r="O6" s="26" t="n">
        <v>1</v>
      </c>
      <c r="P6" s="26" t="n"/>
      <c r="Q6" s="26" t="n"/>
      <c r="R6" s="26" t="n"/>
      <c r="S6" s="26" t="n"/>
      <c r="T6" s="26" t="n"/>
      <c r="U6" s="26" t="n"/>
      <c r="X6" s="7" t="inlineStr">
        <is>
          <t>Lost</t>
        </is>
      </c>
      <c r="Y6" s="10">
        <f>SUMPRODUCT(($B$9:$U$9="L")*($B$16:$U$16=""))</f>
        <v/>
      </c>
    </row>
    <row r="7">
      <c r="A7" s="8" t="inlineStr">
        <is>
          <t>Their goals</t>
        </is>
      </c>
      <c r="B7" s="26" t="n">
        <v>0</v>
      </c>
      <c r="C7" s="26" t="n">
        <v>11</v>
      </c>
      <c r="D7" s="26" t="n">
        <v>7</v>
      </c>
      <c r="E7" s="26" t="n">
        <v>6</v>
      </c>
      <c r="F7" s="26" t="n">
        <v>8</v>
      </c>
      <c r="G7" s="26" t="n">
        <v>5</v>
      </c>
      <c r="H7" s="26" t="n">
        <v>4</v>
      </c>
      <c r="I7" s="26" t="n">
        <v>0</v>
      </c>
      <c r="J7" s="26" t="n">
        <v>9</v>
      </c>
      <c r="K7" s="26" t="n">
        <v>13</v>
      </c>
      <c r="L7" s="26" t="n">
        <v>6</v>
      </c>
      <c r="M7" s="26" t="n">
        <v>13</v>
      </c>
      <c r="N7" s="26" t="n">
        <v>3</v>
      </c>
      <c r="O7" s="26" t="n">
        <v>12</v>
      </c>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inlineStr">
        <is>
          <t>Forfeit</t>
        </is>
      </c>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c r="I19" s="27" t="n"/>
      <c r="J19" s="27" t="n"/>
      <c r="K19" s="27" t="n">
        <v>1</v>
      </c>
      <c r="L19" s="27" t="n"/>
      <c r="M19" s="27" t="n"/>
      <c r="N19" s="27" t="n"/>
      <c r="O19" s="27" t="n">
        <v>1</v>
      </c>
      <c r="P19" s="27" t="n"/>
      <c r="Q19" s="27" t="n"/>
      <c r="R19" s="27" t="n"/>
      <c r="S19" s="27" t="n"/>
      <c r="T19" s="27" t="n"/>
      <c r="U19" s="27" t="n"/>
      <c r="V19" s="24">
        <f>SUMPRODUCT(B19:U19*($B$16:$U$16=""))</f>
        <v/>
      </c>
      <c r="W19" s="20">
        <f>SUMPRODUCT($B19:$U19,$B$15:$U$15)</f>
        <v/>
      </c>
    </row>
    <row r="20">
      <c r="A20" s="23" t="inlineStr">
        <is>
          <t>Andy Cowan</t>
        </is>
      </c>
      <c r="B20" s="27" t="n"/>
      <c r="C20" s="27" t="n">
        <v>1</v>
      </c>
      <c r="D20" s="27" t="n"/>
      <c r="E20" s="27" t="n">
        <v>1</v>
      </c>
      <c r="F20" s="27" t="n">
        <v>1</v>
      </c>
      <c r="G20" s="27" t="n">
        <v>1</v>
      </c>
      <c r="H20" s="27" t="n"/>
      <c r="I20" s="27" t="n">
        <v>1</v>
      </c>
      <c r="J20" s="27" t="n"/>
      <c r="K20" s="27" t="n">
        <v>1</v>
      </c>
      <c r="L20" s="27" t="n">
        <v>1</v>
      </c>
      <c r="M20" s="27" t="n">
        <v>1</v>
      </c>
      <c r="N20" s="27" t="n">
        <v>1</v>
      </c>
      <c r="O20" s="27" t="n">
        <v>1</v>
      </c>
      <c r="P20" s="27" t="n"/>
      <c r="Q20" s="27" t="n"/>
      <c r="R20" s="27" t="n"/>
      <c r="S20" s="27" t="n"/>
      <c r="T20" s="27" t="n"/>
      <c r="U20" s="27" t="n"/>
      <c r="V20" s="24">
        <f>SUMPRODUCT(B20:U20*($B$16:$U$16=""))</f>
        <v/>
      </c>
      <c r="W20" s="20">
        <f>SUMPRODUCT($B20:$U20,$B$15:$U$15)</f>
        <v/>
      </c>
    </row>
    <row r="21" ht="15.75" customHeight="1" s="38">
      <c r="A21" s="23" t="inlineStr">
        <is>
          <t>Ben Merrett</t>
        </is>
      </c>
      <c r="B21" s="27" t="n"/>
      <c r="C21" s="27" t="n"/>
      <c r="D21" s="27" t="n">
        <v>1</v>
      </c>
      <c r="E21" s="27" t="n"/>
      <c r="F21" s="27" t="n">
        <v>1</v>
      </c>
      <c r="G21" s="27" t="n">
        <v>1</v>
      </c>
      <c r="H21" s="27" t="n">
        <v>1</v>
      </c>
      <c r="I21" s="27" t="n">
        <v>1</v>
      </c>
      <c r="J21" s="27" t="n"/>
      <c r="K21" s="27" t="n">
        <v>1</v>
      </c>
      <c r="L21" s="27" t="n">
        <v>1</v>
      </c>
      <c r="M21" s="27" t="n"/>
      <c r="N21" s="27" t="n">
        <v>1</v>
      </c>
      <c r="O21" s="27" t="n"/>
      <c r="P21" s="27" t="n"/>
      <c r="Q21" s="27" t="n"/>
      <c r="R21" s="27" t="n"/>
      <c r="S21" s="27" t="n"/>
      <c r="T21" s="27" t="n"/>
      <c r="U21" s="27" t="n"/>
      <c r="V21" s="24">
        <f>SUMPRODUCT(B21:U21*($B$16:$U$16=""))</f>
        <v/>
      </c>
      <c r="W21" s="20">
        <f>SUMPRODUCT($B21:$U21,$B$15:$U$15)</f>
        <v/>
      </c>
    </row>
    <row r="22" ht="15.75" customHeight="1" s="38">
      <c r="A22" s="23" t="inlineStr">
        <is>
          <t>Callum McCarthy</t>
        </is>
      </c>
      <c r="B22" s="27" t="n"/>
      <c r="C22" s="27" t="n"/>
      <c r="D22" s="27" t="n">
        <v>1</v>
      </c>
      <c r="E22" s="27" t="n">
        <v>1</v>
      </c>
      <c r="F22" s="27" t="n"/>
      <c r="G22" s="27" t="n"/>
      <c r="H22" s="27" t="n">
        <v>1</v>
      </c>
      <c r="I22" s="27" t="n">
        <v>1</v>
      </c>
      <c r="J22" s="27" t="n">
        <v>1</v>
      </c>
      <c r="K22" s="27" t="n"/>
      <c r="L22" s="27" t="n">
        <v>1</v>
      </c>
      <c r="M22" s="27" t="n"/>
      <c r="N22" s="27" t="n">
        <v>1</v>
      </c>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c r="J23" s="27" t="n">
        <v>1</v>
      </c>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c r="C26" s="27" t="n">
        <v>1</v>
      </c>
      <c r="D26" s="27" t="n">
        <v>1</v>
      </c>
      <c r="E26" s="27" t="n">
        <v>1</v>
      </c>
      <c r="F26" s="27" t="n"/>
      <c r="G26" s="27" t="n"/>
      <c r="H26" s="27" t="n"/>
      <c r="I26" s="27" t="n">
        <v>1</v>
      </c>
      <c r="J26" s="27" t="n"/>
      <c r="K26" s="27" t="n">
        <v>1</v>
      </c>
      <c r="L26" s="27" t="n"/>
      <c r="M26" s="27" t="n">
        <v>1</v>
      </c>
      <c r="N26" s="27" t="n"/>
      <c r="O26" s="27" t="n">
        <v>1</v>
      </c>
      <c r="P26" s="27" t="n"/>
      <c r="Q26" s="27" t="n"/>
      <c r="R26" s="27" t="n"/>
      <c r="S26" s="27" t="n"/>
      <c r="T26" s="27" t="n"/>
      <c r="U26" s="27" t="n"/>
      <c r="V26" s="24">
        <f>SUMPRODUCT(B26:U26*($B$16:$U$16=""))</f>
        <v/>
      </c>
      <c r="W26" s="20">
        <f>SUMPRODUCT($B26:$U26,$B$15:$U$15)</f>
        <v/>
      </c>
    </row>
    <row r="27" ht="15.75" customHeight="1" s="38">
      <c r="A27" s="23" t="inlineStr">
        <is>
          <t>George Barbantan</t>
        </is>
      </c>
      <c r="B27" s="27" t="n"/>
      <c r="C27" s="27" t="n"/>
      <c r="D27" s="27" t="n"/>
      <c r="E27" s="27" t="n"/>
      <c r="F27" s="27" t="n">
        <v>1</v>
      </c>
      <c r="G27" s="27" t="n"/>
      <c r="H27" s="27" t="n">
        <v>1</v>
      </c>
      <c r="I27" s="27" t="n">
        <v>1</v>
      </c>
      <c r="J27" s="27" t="n">
        <v>1</v>
      </c>
      <c r="K27" s="27" t="n">
        <v>1</v>
      </c>
      <c r="L27" s="27" t="n"/>
      <c r="M27" s="27" t="n"/>
      <c r="N27" s="27" t="n"/>
      <c r="O27" s="27" t="n"/>
      <c r="P27" s="27" t="n"/>
      <c r="Q27" s="27" t="n"/>
      <c r="R27" s="27" t="n"/>
      <c r="S27" s="27" t="n"/>
      <c r="T27" s="27" t="n"/>
      <c r="U27" s="27" t="n"/>
      <c r="V27" s="24">
        <f>SUMPRODUCT(B27:U27*($B$16:$U$16=""))</f>
        <v/>
      </c>
      <c r="W27" s="20">
        <f>SUMPRODUCT($B27:$U27,$B$15:$U$15)</f>
        <v/>
      </c>
    </row>
    <row r="28" ht="15.75" customHeight="1" s="38">
      <c r="A28" s="23" t="inlineStr">
        <is>
          <t>Henry Linklater</t>
        </is>
      </c>
      <c r="B28" s="27" t="n"/>
      <c r="C28" s="27" t="n">
        <v>1</v>
      </c>
      <c r="D28" s="27" t="n"/>
      <c r="E28" s="27" t="n"/>
      <c r="F28" s="27" t="n"/>
      <c r="G28" s="27" t="n"/>
      <c r="H28" s="27" t="n"/>
      <c r="I28" s="27" t="n"/>
      <c r="J28" s="27" t="n">
        <v>1</v>
      </c>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c r="C29" s="27" t="n">
        <v>1</v>
      </c>
      <c r="D29" s="27" t="n">
        <v>1</v>
      </c>
      <c r="E29" s="27" t="n">
        <v>1</v>
      </c>
      <c r="F29" s="27" t="n">
        <v>1</v>
      </c>
      <c r="G29" s="27" t="n">
        <v>1</v>
      </c>
      <c r="H29" s="27" t="n">
        <v>1</v>
      </c>
      <c r="I29" s="27" t="n">
        <v>1</v>
      </c>
      <c r="J29" s="27" t="n"/>
      <c r="K29" s="27" t="n">
        <v>1</v>
      </c>
      <c r="L29" s="27" t="n">
        <v>1</v>
      </c>
      <c r="M29" s="27" t="n"/>
      <c r="N29" s="27" t="n">
        <v>1</v>
      </c>
      <c r="O29" s="27" t="n"/>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c r="C34" s="27" t="n">
        <v>1</v>
      </c>
      <c r="D34" s="27" t="n">
        <v>1</v>
      </c>
      <c r="E34" s="27" t="n"/>
      <c r="F34" s="27" t="n">
        <v>1</v>
      </c>
      <c r="G34" s="27" t="n">
        <v>1</v>
      </c>
      <c r="H34" s="27" t="n">
        <v>1</v>
      </c>
      <c r="I34" s="27" t="n"/>
      <c r="J34" s="27" t="n">
        <v>1</v>
      </c>
      <c r="K34" s="27" t="n"/>
      <c r="L34" s="27" t="n"/>
      <c r="M34" s="27" t="n">
        <v>1</v>
      </c>
      <c r="N34" s="27" t="n"/>
      <c r="O34" s="27" t="n">
        <v>1</v>
      </c>
      <c r="P34" s="27" t="n"/>
      <c r="Q34" s="27" t="n"/>
      <c r="R34" s="27" t="n"/>
      <c r="S34" s="27" t="n"/>
      <c r="T34" s="27" t="n"/>
      <c r="U34" s="27" t="n"/>
      <c r="V34" s="24">
        <f>SUMPRODUCT(B34:U34*($B$16:$U$16=""))</f>
        <v/>
      </c>
      <c r="W34" s="20">
        <f>SUMPRODUCT($B34:$U34,$B$15:$U$15)</f>
        <v/>
      </c>
    </row>
    <row r="35" ht="15.75" customHeight="1" s="38">
      <c r="A35" s="23" t="inlineStr">
        <is>
          <t>Neeraj Radia</t>
        </is>
      </c>
      <c r="B35" s="27" t="n"/>
      <c r="C35" s="27" t="n"/>
      <c r="D35" s="27" t="n">
        <v>1</v>
      </c>
      <c r="E35" s="27" t="n"/>
      <c r="F35" s="27" t="n">
        <v>1</v>
      </c>
      <c r="G35" s="27" t="n">
        <v>1</v>
      </c>
      <c r="H35" s="27" t="n">
        <v>1</v>
      </c>
      <c r="I35" s="27" t="n">
        <v>1</v>
      </c>
      <c r="J35" s="27" t="n">
        <v>1</v>
      </c>
      <c r="K35" s="27" t="n"/>
      <c r="L35" s="27" t="n">
        <v>1</v>
      </c>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c r="C36" s="27" t="n"/>
      <c r="D36" s="27" t="n">
        <v>1</v>
      </c>
      <c r="E36" s="27" t="n">
        <v>1</v>
      </c>
      <c r="F36" s="27" t="n"/>
      <c r="G36" s="27" t="n">
        <v>1</v>
      </c>
      <c r="H36" s="27" t="n">
        <v>1</v>
      </c>
      <c r="I36" s="27" t="n">
        <v>1</v>
      </c>
      <c r="J36" s="27" t="n"/>
      <c r="K36" s="27" t="n">
        <v>1</v>
      </c>
      <c r="L36" s="27" t="n">
        <v>1</v>
      </c>
      <c r="M36" s="27" t="n"/>
      <c r="N36" s="27" t="n">
        <v>1</v>
      </c>
      <c r="O36" s="27" t="n">
        <v>1</v>
      </c>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c r="C38" s="27" t="n">
        <v>1</v>
      </c>
      <c r="D38" s="27" t="n"/>
      <c r="E38" s="27" t="n"/>
      <c r="F38" s="27" t="n"/>
      <c r="G38" s="27" t="n"/>
      <c r="H38" s="27" t="n"/>
      <c r="I38" s="27" t="n"/>
      <c r="J38" s="27" t="n"/>
      <c r="K38" s="27" t="n"/>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c r="C39" s="27" t="n"/>
      <c r="D39" s="27" t="n">
        <v>1</v>
      </c>
      <c r="E39" s="27" t="n">
        <v>1</v>
      </c>
      <c r="F39" s="27" t="n">
        <v>1</v>
      </c>
      <c r="G39" s="27" t="n">
        <v>1</v>
      </c>
      <c r="H39" s="27" t="n">
        <v>1</v>
      </c>
      <c r="I39" s="27" t="n"/>
      <c r="J39" s="27" t="n"/>
      <c r="K39" s="27" t="n">
        <v>1</v>
      </c>
      <c r="L39" s="27" t="n">
        <v>1</v>
      </c>
      <c r="M39" s="27" t="n">
        <v>1</v>
      </c>
      <c r="N39" s="27" t="n">
        <v>1</v>
      </c>
      <c r="O39" s="27" t="n"/>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c r="I51" s="27" t="n">
        <v>1</v>
      </c>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v>1</v>
      </c>
      <c r="J52" s="27" t="n"/>
      <c r="K52" s="27" t="n">
        <v>1</v>
      </c>
      <c r="L52" s="27" t="n"/>
      <c r="M52" s="27" t="n"/>
      <c r="N52" s="27" t="n"/>
      <c r="O52" s="27" t="n"/>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v>2</v>
      </c>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c r="C57" s="27" t="n">
        <v>2</v>
      </c>
      <c r="D57" s="27" t="n"/>
      <c r="E57" s="27" t="n"/>
      <c r="F57" s="27" t="n"/>
      <c r="G57" s="27" t="n"/>
      <c r="H57" s="27" t="n"/>
      <c r="I57" s="27" t="n"/>
      <c r="J57" s="27" t="n"/>
      <c r="K57" s="27" t="n">
        <v>1</v>
      </c>
      <c r="L57" s="27" t="n"/>
      <c r="M57" s="27" t="n">
        <v>1</v>
      </c>
      <c r="N57" s="27" t="n"/>
      <c r="O57" s="27" t="n">
        <v>1</v>
      </c>
      <c r="P57" s="27" t="n"/>
      <c r="Q57" s="27" t="n"/>
      <c r="R57" s="27" t="n"/>
      <c r="S57" s="27" t="n"/>
      <c r="T57" s="27" t="n"/>
      <c r="U57" s="27" t="n"/>
      <c r="V57" s="24">
        <f>SUMPRODUCT(B57:U57*($B$16:$U$16=""))</f>
        <v/>
      </c>
    </row>
    <row r="58" ht="15.75" customHeight="1" s="38">
      <c r="A58" s="23">
        <f>IF($A27="","",$A27)</f>
        <v/>
      </c>
      <c r="B58" s="27" t="n"/>
      <c r="C58" s="27" t="n"/>
      <c r="D58" s="27" t="n"/>
      <c r="E58" s="27" t="n"/>
      <c r="F58" s="27" t="n"/>
      <c r="G58" s="27" t="n"/>
      <c r="H58" s="27" t="n"/>
      <c r="I58" s="27" t="n">
        <v>1</v>
      </c>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v>1</v>
      </c>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c r="C65" s="27" t="n"/>
      <c r="D65" s="27" t="n"/>
      <c r="E65" s="27" t="n"/>
      <c r="F65" s="27" t="n">
        <v>2</v>
      </c>
      <c r="G65" s="27" t="n"/>
      <c r="H65" s="27" t="n"/>
      <c r="I65" s="27" t="n"/>
      <c r="J65" s="27" t="n">
        <v>2</v>
      </c>
      <c r="K65" s="27" t="n"/>
      <c r="L65" s="27" t="n"/>
      <c r="M65" s="27" t="n">
        <v>1</v>
      </c>
      <c r="N65" s="27" t="n"/>
      <c r="O65" s="27" t="n"/>
      <c r="P65" s="27" t="n"/>
      <c r="Q65" s="27" t="n"/>
      <c r="R65" s="27" t="n"/>
      <c r="S65" s="27" t="n"/>
      <c r="T65" s="27" t="n"/>
      <c r="U65" s="27" t="n"/>
      <c r="V65" s="24">
        <f>SUMPRODUCT(B65:U65*($B$16:$U$16=""))</f>
        <v/>
      </c>
    </row>
    <row r="66" ht="15.75" customHeight="1" s="38">
      <c r="A66" s="23">
        <f>IF($A35="","",$A35)</f>
        <v/>
      </c>
      <c r="B66" s="27" t="n"/>
      <c r="C66" s="27" t="n"/>
      <c r="D66" s="27" t="n"/>
      <c r="E66" s="27" t="n"/>
      <c r="F66" s="27" t="n"/>
      <c r="G66" s="27" t="n">
        <v>1</v>
      </c>
      <c r="H66" s="27" t="n"/>
      <c r="I66" s="27" t="n">
        <v>2</v>
      </c>
      <c r="J66" s="27" t="n">
        <v>1</v>
      </c>
      <c r="K66" s="27" t="n"/>
      <c r="L66" s="27" t="n"/>
      <c r="M66" s="27" t="n"/>
      <c r="N66" s="27" t="n"/>
      <c r="O66" s="27" t="n"/>
      <c r="P66" s="27" t="n"/>
      <c r="Q66" s="27" t="n"/>
      <c r="R66" s="27" t="n"/>
      <c r="S66" s="27" t="n"/>
      <c r="T66" s="27" t="n"/>
      <c r="U66" s="27" t="n"/>
      <c r="V66" s="24">
        <f>SUMPRODUCT(B66:U66*($B$16:$U$16=""))</f>
        <v/>
      </c>
    </row>
    <row r="67" ht="15.75" customHeight="1" s="38">
      <c r="A67" s="23">
        <f>IF($A36="","",$A36)</f>
        <v/>
      </c>
      <c r="B67" s="27" t="n"/>
      <c r="C67" s="27" t="n"/>
      <c r="D67" s="27" t="n">
        <v>1</v>
      </c>
      <c r="E67" s="27" t="n">
        <v>1</v>
      </c>
      <c r="F67" s="27" t="n"/>
      <c r="G67" s="27" t="n"/>
      <c r="H67" s="27" t="n"/>
      <c r="I67" s="27" t="n">
        <v>2</v>
      </c>
      <c r="J67" s="27" t="n"/>
      <c r="K67" s="27" t="n">
        <v>1</v>
      </c>
      <c r="L67" s="27" t="n"/>
      <c r="M67" s="27" t="n"/>
      <c r="N67" s="27" t="n">
        <v>2</v>
      </c>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c r="C70" s="27" t="n"/>
      <c r="D70" s="27" t="n"/>
      <c r="E70" s="27" t="n">
        <v>1</v>
      </c>
      <c r="F70" s="27" t="n">
        <v>1</v>
      </c>
      <c r="G70" s="27" t="n">
        <v>1</v>
      </c>
      <c r="H70" s="27" t="n">
        <v>1</v>
      </c>
      <c r="I70" s="27" t="n"/>
      <c r="J70" s="27" t="n"/>
      <c r="K70" s="27" t="n"/>
      <c r="L70" s="27" t="n">
        <v>1</v>
      </c>
      <c r="M70" s="27" t="n"/>
      <c r="N70" s="27" t="n">
        <v>1</v>
      </c>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4 · PlayFootball Old Street (5G, 6-a-side) · Jul–Oct 2025</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45841</v>
      </c>
      <c r="C3" s="9" t="n">
        <v>45848</v>
      </c>
      <c r="D3" s="9" t="n">
        <v>45855</v>
      </c>
      <c r="E3" s="9" t="n">
        <v>45862</v>
      </c>
      <c r="F3" s="9" t="n">
        <v>45869</v>
      </c>
      <c r="G3" s="9" t="n">
        <v>45876</v>
      </c>
      <c r="H3" s="9" t="n">
        <v>45883</v>
      </c>
      <c r="I3" s="9" t="n">
        <v>45890</v>
      </c>
      <c r="J3" s="9" t="n">
        <v>45897</v>
      </c>
      <c r="K3" s="9" t="n">
        <v>45904</v>
      </c>
      <c r="L3" s="9" t="n">
        <v>45911</v>
      </c>
      <c r="M3" s="9" t="n">
        <v>45918</v>
      </c>
      <c r="N3" s="9" t="n">
        <v>45925</v>
      </c>
      <c r="O3" s="9" t="n">
        <v>45932</v>
      </c>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Dukes Select</t>
        </is>
      </c>
      <c r="C5" s="12" t="inlineStr">
        <is>
          <t>Ding Cats</t>
        </is>
      </c>
      <c r="D5" s="12" t="inlineStr">
        <is>
          <t>Green of the South</t>
        </is>
      </c>
      <c r="E5" s="12" t="inlineStr">
        <is>
          <t>Enjoy Your Mane Jane</t>
        </is>
      </c>
      <c r="F5" s="12" t="inlineStr">
        <is>
          <t>Old Ivy</t>
        </is>
      </c>
      <c r="G5" s="12" t="inlineStr">
        <is>
          <t>Spudos</t>
        </is>
      </c>
      <c r="H5" s="12" t="inlineStr">
        <is>
          <t>The Britannias</t>
        </is>
      </c>
      <c r="I5" s="12" t="inlineStr">
        <is>
          <t>Ding Cats</t>
        </is>
      </c>
      <c r="J5" s="12" t="inlineStr">
        <is>
          <t>Dukes Select</t>
        </is>
      </c>
      <c r="K5" s="12" t="inlineStr">
        <is>
          <t>Old Ivy</t>
        </is>
      </c>
      <c r="L5" s="12" t="inlineStr">
        <is>
          <t>Spudos</t>
        </is>
      </c>
      <c r="M5" s="12" t="inlineStr">
        <is>
          <t>Enjoy Your Mane Jane</t>
        </is>
      </c>
      <c r="N5" s="12" t="inlineStr">
        <is>
          <t>The Britannias</t>
        </is>
      </c>
      <c r="O5" s="12" t="inlineStr">
        <is>
          <t>Green of the South</t>
        </is>
      </c>
      <c r="P5" s="12" t="n"/>
      <c r="Q5" s="12" t="n"/>
      <c r="R5" s="12" t="n"/>
      <c r="S5" s="12" t="n"/>
      <c r="T5" s="12" t="n"/>
      <c r="U5" s="12" t="n"/>
      <c r="X5" s="7" t="inlineStr">
        <is>
          <t>Drawn</t>
        </is>
      </c>
      <c r="Y5" s="10">
        <f>SUMPRODUCT(($B$9:$U$9="D")*($B$16:$U$16=""))</f>
        <v/>
      </c>
    </row>
    <row r="6">
      <c r="A6" s="8" t="inlineStr">
        <is>
          <t>Our goals</t>
        </is>
      </c>
      <c r="B6" s="26" t="n">
        <v>3</v>
      </c>
      <c r="C6" s="26" t="n">
        <v>2</v>
      </c>
      <c r="D6" s="26" t="n">
        <v>4</v>
      </c>
      <c r="E6" s="26" t="n">
        <v>4</v>
      </c>
      <c r="F6" s="26" t="n">
        <v>2</v>
      </c>
      <c r="G6" s="26" t="n">
        <v>2</v>
      </c>
      <c r="H6" s="26" t="n">
        <v>4</v>
      </c>
      <c r="I6" s="26" t="n">
        <v>2</v>
      </c>
      <c r="J6" s="26" t="n"/>
      <c r="K6" s="26" t="n"/>
      <c r="L6" s="26" t="n">
        <v>5</v>
      </c>
      <c r="M6" s="26" t="n"/>
      <c r="N6" s="26" t="n">
        <v>0</v>
      </c>
      <c r="O6" s="26" t="n">
        <v>2</v>
      </c>
      <c r="P6" s="26" t="n"/>
      <c r="Q6" s="26" t="n"/>
      <c r="R6" s="26" t="n"/>
      <c r="S6" s="26" t="n"/>
      <c r="T6" s="26" t="n"/>
      <c r="U6" s="26" t="n"/>
      <c r="X6" s="7" t="inlineStr">
        <is>
          <t>Lost</t>
        </is>
      </c>
      <c r="Y6" s="10">
        <f>SUMPRODUCT(($B$9:$U$9="L")*($B$16:$U$16=""))</f>
        <v/>
      </c>
    </row>
    <row r="7">
      <c r="A7" s="8" t="inlineStr">
        <is>
          <t>Their goals</t>
        </is>
      </c>
      <c r="B7" s="26" t="n">
        <v>8</v>
      </c>
      <c r="C7" s="26" t="n">
        <v>7</v>
      </c>
      <c r="D7" s="26" t="n">
        <v>8</v>
      </c>
      <c r="E7" s="26" t="n">
        <v>7</v>
      </c>
      <c r="F7" s="26" t="n">
        <v>6</v>
      </c>
      <c r="G7" s="26" t="n">
        <v>7</v>
      </c>
      <c r="H7" s="26" t="n">
        <v>3</v>
      </c>
      <c r="I7" s="26" t="n">
        <v>6</v>
      </c>
      <c r="J7" s="26" t="n"/>
      <c r="K7" s="26" t="n"/>
      <c r="L7" s="26" t="n">
        <v>1</v>
      </c>
      <c r="M7" s="26" t="n"/>
      <c r="N7" s="26" t="n">
        <v>3</v>
      </c>
      <c r="O7" s="26" t="n">
        <v>4</v>
      </c>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inlineStr">
        <is>
          <t>Phil Knott</t>
        </is>
      </c>
      <c r="C10" s="27" t="n"/>
      <c r="D10" s="27" t="n"/>
      <c r="E10" s="27" t="n"/>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n"/>
      <c r="J12" s="17" t="inlineStr">
        <is>
          <t>score not recorded</t>
        </is>
      </c>
      <c r="K12" s="17" t="inlineStr">
        <is>
          <t>score not recorded</t>
        </is>
      </c>
      <c r="L12" s="17" t="n"/>
      <c r="M12" s="17" t="inlineStr">
        <is>
          <t>score not recorded</t>
        </is>
      </c>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v>1</v>
      </c>
      <c r="E19" s="27" t="n"/>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v>1</v>
      </c>
      <c r="C20" s="27" t="n">
        <v>1</v>
      </c>
      <c r="D20" s="27" t="n"/>
      <c r="E20" s="27" t="n"/>
      <c r="F20" s="27" t="n">
        <v>1</v>
      </c>
      <c r="G20" s="27" t="n"/>
      <c r="H20" s="27" t="n">
        <v>1</v>
      </c>
      <c r="I20" s="27" t="n"/>
      <c r="J20" s="27" t="n">
        <v>1</v>
      </c>
      <c r="K20" s="27" t="n">
        <v>1</v>
      </c>
      <c r="L20" s="27" t="n">
        <v>1</v>
      </c>
      <c r="M20" s="27" t="n"/>
      <c r="N20" s="27" t="n">
        <v>1</v>
      </c>
      <c r="O20" s="27" t="n">
        <v>1</v>
      </c>
      <c r="P20" s="27" t="n"/>
      <c r="Q20" s="27" t="n"/>
      <c r="R20" s="27" t="n"/>
      <c r="S20" s="27" t="n"/>
      <c r="T20" s="27" t="n"/>
      <c r="U20" s="27" t="n"/>
      <c r="V20" s="24">
        <f>SUMPRODUCT(B20:U20*($B$16:$U$16=""))</f>
        <v/>
      </c>
      <c r="W20" s="20">
        <f>SUMPRODUCT($B20:$U20,$B$15:$U$15)</f>
        <v/>
      </c>
    </row>
    <row r="21" ht="15.75" customHeight="1" s="38">
      <c r="A21" s="23" t="inlineStr">
        <is>
          <t>Ben Merrett</t>
        </is>
      </c>
      <c r="B21" s="27" t="n"/>
      <c r="C21" s="27" t="n">
        <v>1</v>
      </c>
      <c r="D21" s="27" t="n">
        <v>1</v>
      </c>
      <c r="E21" s="27" t="n">
        <v>1</v>
      </c>
      <c r="F21" s="27" t="n"/>
      <c r="G21" s="27" t="n"/>
      <c r="H21" s="27" t="n"/>
      <c r="I21" s="27" t="n">
        <v>1</v>
      </c>
      <c r="J21" s="27" t="n">
        <v>1</v>
      </c>
      <c r="K21" s="27" t="n">
        <v>1</v>
      </c>
      <c r="L21" s="27" t="n">
        <v>1</v>
      </c>
      <c r="M21" s="27" t="n">
        <v>1</v>
      </c>
      <c r="N21" s="27" t="n"/>
      <c r="O21" s="27" t="n"/>
      <c r="P21" s="27" t="n"/>
      <c r="Q21" s="27" t="n"/>
      <c r="R21" s="27" t="n"/>
      <c r="S21" s="27" t="n"/>
      <c r="T21" s="27" t="n"/>
      <c r="U21" s="27" t="n"/>
      <c r="V21" s="24">
        <f>SUMPRODUCT(B21:U21*($B$16:$U$16=""))</f>
        <v/>
      </c>
      <c r="W21" s="20">
        <f>SUMPRODUCT($B21:$U21,$B$15:$U$15)</f>
        <v/>
      </c>
    </row>
    <row r="22" ht="15.75" customHeight="1" s="38">
      <c r="A22" s="23" t="inlineStr">
        <is>
          <t>Callum McCarthy</t>
        </is>
      </c>
      <c r="B22" s="27" t="n">
        <v>1</v>
      </c>
      <c r="C22" s="27" t="n"/>
      <c r="D22" s="27" t="n">
        <v>1</v>
      </c>
      <c r="E22" s="27" t="n"/>
      <c r="F22" s="27" t="n"/>
      <c r="G22" s="27" t="n"/>
      <c r="H22" s="27" t="n">
        <v>1</v>
      </c>
      <c r="I22" s="27" t="n"/>
      <c r="J22" s="27" t="n">
        <v>1</v>
      </c>
      <c r="K22" s="27" t="n">
        <v>1</v>
      </c>
      <c r="L22" s="27" t="n">
        <v>1</v>
      </c>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v>1</v>
      </c>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c r="C26" s="27" t="n">
        <v>1</v>
      </c>
      <c r="D26" s="27" t="n"/>
      <c r="E26" s="27" t="n">
        <v>1</v>
      </c>
      <c r="F26" s="27" t="n"/>
      <c r="G26" s="27" t="n">
        <v>1</v>
      </c>
      <c r="H26" s="27" t="n"/>
      <c r="I26" s="27" t="n">
        <v>1</v>
      </c>
      <c r="J26" s="27" t="n"/>
      <c r="K26" s="27" t="n"/>
      <c r="L26" s="27" t="n"/>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c r="C27" s="27" t="n"/>
      <c r="D27" s="27" t="n">
        <v>1</v>
      </c>
      <c r="E27" s="27" t="n">
        <v>1</v>
      </c>
      <c r="F27" s="27" t="n">
        <v>1</v>
      </c>
      <c r="G27" s="27" t="n">
        <v>1</v>
      </c>
      <c r="H27" s="27" t="n">
        <v>1</v>
      </c>
      <c r="I27" s="27" t="n">
        <v>1</v>
      </c>
      <c r="J27" s="27" t="n">
        <v>1</v>
      </c>
      <c r="K27" s="27" t="n"/>
      <c r="L27" s="27" t="n"/>
      <c r="M27" s="27" t="n"/>
      <c r="N27" s="27" t="n">
        <v>1</v>
      </c>
      <c r="O27" s="27" t="n">
        <v>1</v>
      </c>
      <c r="P27" s="27" t="n"/>
      <c r="Q27" s="27" t="n"/>
      <c r="R27" s="27" t="n"/>
      <c r="S27" s="27" t="n"/>
      <c r="T27" s="27" t="n"/>
      <c r="U27" s="27" t="n"/>
      <c r="V27" s="24">
        <f>SUMPRODUCT(B27:U27*($B$16:$U$16=""))</f>
        <v/>
      </c>
      <c r="W27" s="20">
        <f>SUMPRODUCT($B27:$U27,$B$15:$U$15)</f>
        <v/>
      </c>
    </row>
    <row r="28" ht="15.75" customHeight="1" s="38">
      <c r="A28" s="23" t="inlineStr">
        <is>
          <t>Henry Linklater</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c r="C29" s="27" t="n">
        <v>1</v>
      </c>
      <c r="D29" s="27" t="n"/>
      <c r="E29" s="27" t="n"/>
      <c r="F29" s="27" t="n">
        <v>1</v>
      </c>
      <c r="G29" s="27" t="n">
        <v>1</v>
      </c>
      <c r="H29" s="27" t="n"/>
      <c r="I29" s="27" t="n"/>
      <c r="J29" s="27" t="n">
        <v>1</v>
      </c>
      <c r="K29" s="27" t="n">
        <v>1</v>
      </c>
      <c r="L29" s="27" t="n">
        <v>1</v>
      </c>
      <c r="M29" s="27" t="n">
        <v>1</v>
      </c>
      <c r="N29" s="27" t="n">
        <v>1</v>
      </c>
      <c r="O29" s="27" t="n">
        <v>1</v>
      </c>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v>1</v>
      </c>
      <c r="C34" s="27" t="n">
        <v>1</v>
      </c>
      <c r="D34" s="27" t="n">
        <v>1</v>
      </c>
      <c r="E34" s="27" t="n"/>
      <c r="F34" s="27" t="n"/>
      <c r="G34" s="27" t="n">
        <v>1</v>
      </c>
      <c r="H34" s="27" t="n"/>
      <c r="I34" s="27" t="n">
        <v>1</v>
      </c>
      <c r="J34" s="27" t="n"/>
      <c r="K34" s="27" t="n">
        <v>1</v>
      </c>
      <c r="L34" s="27" t="n"/>
      <c r="M34" s="27" t="n">
        <v>1</v>
      </c>
      <c r="N34" s="27" t="n">
        <v>1</v>
      </c>
      <c r="O34" s="27" t="n"/>
      <c r="P34" s="27" t="n"/>
      <c r="Q34" s="27" t="n"/>
      <c r="R34" s="27" t="n"/>
      <c r="S34" s="27" t="n"/>
      <c r="T34" s="27" t="n"/>
      <c r="U34" s="27" t="n"/>
      <c r="V34" s="24">
        <f>SUMPRODUCT(B34:U34*($B$16:$U$16=""))</f>
        <v/>
      </c>
      <c r="W34" s="20">
        <f>SUMPRODUCT($B34:$U34,$B$15:$U$15)</f>
        <v/>
      </c>
    </row>
    <row r="35" ht="15.75" customHeight="1" s="38">
      <c r="A35" s="23" t="inlineStr">
        <is>
          <t>Neeraj Radia</t>
        </is>
      </c>
      <c r="B35" s="27" t="n"/>
      <c r="C35" s="27" t="n">
        <v>1</v>
      </c>
      <c r="D35" s="27" t="n"/>
      <c r="E35" s="27" t="n">
        <v>1</v>
      </c>
      <c r="F35" s="27" t="n">
        <v>1</v>
      </c>
      <c r="G35" s="27" t="n">
        <v>1</v>
      </c>
      <c r="H35" s="27" t="n">
        <v>1</v>
      </c>
      <c r="I35" s="27" t="n">
        <v>1</v>
      </c>
      <c r="J35" s="27" t="n">
        <v>1</v>
      </c>
      <c r="K35" s="27" t="n">
        <v>1</v>
      </c>
      <c r="L35" s="27" t="n">
        <v>1</v>
      </c>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v>1</v>
      </c>
      <c r="C36" s="27" t="n"/>
      <c r="D36" s="27" t="n"/>
      <c r="E36" s="27" t="n">
        <v>1</v>
      </c>
      <c r="F36" s="27" t="n">
        <v>1</v>
      </c>
      <c r="G36" s="27" t="n">
        <v>1</v>
      </c>
      <c r="H36" s="27" t="n"/>
      <c r="I36" s="27" t="n"/>
      <c r="J36" s="27" t="n"/>
      <c r="K36" s="27" t="n"/>
      <c r="L36" s="27" t="n">
        <v>1</v>
      </c>
      <c r="M36" s="27" t="n"/>
      <c r="N36" s="27" t="n"/>
      <c r="O36" s="27" t="n"/>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c r="C38" s="27" t="n"/>
      <c r="D38" s="27" t="n"/>
      <c r="E38" s="27" t="n"/>
      <c r="F38" s="27" t="n"/>
      <c r="G38" s="27" t="n"/>
      <c r="H38" s="27" t="n"/>
      <c r="I38" s="27" t="n"/>
      <c r="J38" s="27" t="n"/>
      <c r="K38" s="27" t="n"/>
      <c r="L38" s="27" t="n"/>
      <c r="M38" s="27" t="n">
        <v>1</v>
      </c>
      <c r="N38" s="27" t="n">
        <v>1</v>
      </c>
      <c r="O38" s="27" t="n">
        <v>1</v>
      </c>
      <c r="P38" s="27" t="n"/>
      <c r="Q38" s="27" t="n"/>
      <c r="R38" s="27" t="n"/>
      <c r="S38" s="27" t="n"/>
      <c r="T38" s="27" t="n"/>
      <c r="U38" s="27" t="n"/>
      <c r="V38" s="24">
        <f>SUMPRODUCT(B38:U38*($B$16:$U$16=""))</f>
        <v/>
      </c>
      <c r="W38" s="20">
        <f>SUMPRODUCT($B38:$U38,$B$15:$U$15)</f>
        <v/>
      </c>
    </row>
    <row r="39" ht="15.75" customHeight="1" s="38">
      <c r="A39" s="23" t="inlineStr">
        <is>
          <t>Seb Burgess</t>
        </is>
      </c>
      <c r="B39" s="27" t="n">
        <v>1</v>
      </c>
      <c r="C39" s="27" t="n">
        <v>1</v>
      </c>
      <c r="D39" s="27" t="n">
        <v>1</v>
      </c>
      <c r="E39" s="27" t="n">
        <v>1</v>
      </c>
      <c r="F39" s="27" t="n">
        <v>1</v>
      </c>
      <c r="G39" s="27" t="n">
        <v>1</v>
      </c>
      <c r="H39" s="27" t="n">
        <v>1</v>
      </c>
      <c r="I39" s="27" t="n">
        <v>1</v>
      </c>
      <c r="J39" s="27" t="n"/>
      <c r="K39" s="27" t="n">
        <v>1</v>
      </c>
      <c r="L39" s="27" t="n">
        <v>1</v>
      </c>
      <c r="M39" s="27" t="n">
        <v>1</v>
      </c>
      <c r="N39" s="27" t="n">
        <v>1</v>
      </c>
      <c r="O39" s="27" t="n">
        <v>1</v>
      </c>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v>1</v>
      </c>
      <c r="G51" s="27" t="n"/>
      <c r="H51" s="27" t="n">
        <v>1</v>
      </c>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4">
        <f>SUMPRODUCT(B52:U52*($B$16:$U$16=""))</f>
        <v/>
      </c>
    </row>
    <row r="53" ht="15.75" customHeight="1" s="38">
      <c r="A53" s="23">
        <f>IF($A22="","",$A22)</f>
        <v/>
      </c>
      <c r="B53" s="27" t="n">
        <v>1</v>
      </c>
      <c r="C53" s="27" t="n"/>
      <c r="D53" s="27" t="n"/>
      <c r="E53" s="27" t="n"/>
      <c r="F53" s="27" t="n"/>
      <c r="G53" s="27" t="n"/>
      <c r="H53" s="27" t="n">
        <v>1</v>
      </c>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c r="C57" s="27" t="n"/>
      <c r="D57" s="27" t="n"/>
      <c r="E57" s="27" t="n">
        <v>1</v>
      </c>
      <c r="F57" s="27" t="n"/>
      <c r="G57" s="27" t="n"/>
      <c r="H57" s="27" t="n"/>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c r="C58" s="27" t="n"/>
      <c r="D58" s="27" t="n"/>
      <c r="E58" s="27" t="n"/>
      <c r="F58" s="27" t="n"/>
      <c r="G58" s="27" t="n">
        <v>1</v>
      </c>
      <c r="H58" s="27" t="n"/>
      <c r="I58" s="27" t="n"/>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c r="C65" s="27" t="n"/>
      <c r="D65" s="27" t="n"/>
      <c r="E65" s="27" t="n"/>
      <c r="F65" s="27" t="n"/>
      <c r="G65" s="27" t="n"/>
      <c r="H65" s="27" t="n"/>
      <c r="I65" s="27" t="n">
        <v>1</v>
      </c>
      <c r="J65" s="27" t="n"/>
      <c r="K65" s="27" t="n"/>
      <c r="L65" s="27" t="n"/>
      <c r="M65" s="27" t="n"/>
      <c r="N65" s="27" t="n"/>
      <c r="O65" s="27" t="n"/>
      <c r="P65" s="27" t="n"/>
      <c r="Q65" s="27" t="n"/>
      <c r="R65" s="27" t="n"/>
      <c r="S65" s="27" t="n"/>
      <c r="T65" s="27" t="n"/>
      <c r="U65" s="27" t="n"/>
      <c r="V65" s="24">
        <f>SUMPRODUCT(B65:U65*($B$16:$U$16=""))</f>
        <v/>
      </c>
    </row>
    <row r="66" ht="15.75" customHeight="1" s="38">
      <c r="A66" s="23">
        <f>IF($A35="","",$A35)</f>
        <v/>
      </c>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v>1</v>
      </c>
      <c r="C67" s="27" t="n"/>
      <c r="D67" s="27" t="n"/>
      <c r="E67" s="27" t="n">
        <v>1</v>
      </c>
      <c r="F67" s="27" t="n"/>
      <c r="G67" s="27" t="n"/>
      <c r="H67" s="27" t="n"/>
      <c r="I67" s="27" t="n"/>
      <c r="J67" s="27" t="n"/>
      <c r="K67" s="27" t="n"/>
      <c r="L67" s="27" t="n"/>
      <c r="M67" s="27" t="n"/>
      <c r="N67" s="27" t="n"/>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c r="C70" s="27" t="n">
        <v>2</v>
      </c>
      <c r="D70" s="27" t="n"/>
      <c r="E70" s="27" t="n">
        <v>2</v>
      </c>
      <c r="F70" s="27" t="n">
        <v>1</v>
      </c>
      <c r="G70" s="27" t="n">
        <v>1</v>
      </c>
      <c r="H70" s="27" t="n">
        <v>2</v>
      </c>
      <c r="I70" s="27" t="n">
        <v>1</v>
      </c>
      <c r="J70" s="27" t="n"/>
      <c r="K70" s="27" t="n"/>
      <c r="L70" s="27" t="n">
        <v>5</v>
      </c>
      <c r="M70" s="27" t="n"/>
      <c r="N70" s="27" t="n"/>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5 · PlayFootball Old Street (5G, 6-a-side) · Oct 2025–Feb 2026</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45946</v>
      </c>
      <c r="C3" s="9" t="n">
        <v>45953</v>
      </c>
      <c r="D3" s="9" t="n">
        <v>45960</v>
      </c>
      <c r="E3" s="9" t="n">
        <v>45967</v>
      </c>
      <c r="F3" s="9" t="n">
        <v>45974</v>
      </c>
      <c r="G3" s="9" t="n">
        <v>45981</v>
      </c>
      <c r="H3" s="9" t="n">
        <v>45988</v>
      </c>
      <c r="I3" s="9" t="n">
        <v>45995</v>
      </c>
      <c r="J3" s="9" t="n">
        <v>46002</v>
      </c>
      <c r="K3" s="9" t="n">
        <v>46030</v>
      </c>
      <c r="L3" s="9" t="n">
        <v>46037</v>
      </c>
      <c r="M3" s="9" t="n">
        <v>46044</v>
      </c>
      <c r="N3" s="9" t="n">
        <v>46051</v>
      </c>
      <c r="O3" s="9" t="n">
        <v>46058</v>
      </c>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Dukes Select</t>
        </is>
      </c>
      <c r="C5" s="12" t="inlineStr">
        <is>
          <t>Green of the South</t>
        </is>
      </c>
      <c r="D5" s="12" t="inlineStr">
        <is>
          <t>Enjoy Your Mane Jane</t>
        </is>
      </c>
      <c r="E5" s="12" t="inlineStr">
        <is>
          <t>Old Ivy</t>
        </is>
      </c>
      <c r="F5" s="12" t="inlineStr">
        <is>
          <t>Not Very Often</t>
        </is>
      </c>
      <c r="G5" s="12" t="inlineStr">
        <is>
          <t>The Britannias</t>
        </is>
      </c>
      <c r="H5" s="12" t="inlineStr">
        <is>
          <t>Ding Cats</t>
        </is>
      </c>
      <c r="I5" s="12" t="inlineStr">
        <is>
          <t>Dukes Select</t>
        </is>
      </c>
      <c r="J5" s="12" t="inlineStr">
        <is>
          <t>Old Ivy</t>
        </is>
      </c>
      <c r="K5" s="12" t="inlineStr">
        <is>
          <t>Enjoy Your Mane Jane</t>
        </is>
      </c>
      <c r="L5" s="12" t="inlineStr">
        <is>
          <t>The Britannias</t>
        </is>
      </c>
      <c r="M5" s="12" t="inlineStr">
        <is>
          <t>Green of the South</t>
        </is>
      </c>
      <c r="N5" s="12" t="inlineStr">
        <is>
          <t>Ding Cats</t>
        </is>
      </c>
      <c r="O5" s="12" t="inlineStr">
        <is>
          <t>Not Very Often</t>
        </is>
      </c>
      <c r="P5" s="12" t="n"/>
      <c r="Q5" s="12" t="n"/>
      <c r="R5" s="12" t="n"/>
      <c r="S5" s="12" t="n"/>
      <c r="T5" s="12" t="n"/>
      <c r="U5" s="12" t="n"/>
      <c r="X5" s="7" t="inlineStr">
        <is>
          <t>Drawn</t>
        </is>
      </c>
      <c r="Y5" s="10">
        <f>SUMPRODUCT(($B$9:$U$9="D")*($B$16:$U$16=""))</f>
        <v/>
      </c>
    </row>
    <row r="6">
      <c r="A6" s="8" t="inlineStr">
        <is>
          <t>Our goals</t>
        </is>
      </c>
      <c r="B6" s="26" t="n">
        <v>3</v>
      </c>
      <c r="C6" s="26" t="n">
        <v>0</v>
      </c>
      <c r="D6" s="26" t="n">
        <v>2</v>
      </c>
      <c r="E6" s="26" t="n">
        <v>1</v>
      </c>
      <c r="F6" s="26" t="n">
        <v>5</v>
      </c>
      <c r="G6" s="26" t="n">
        <v>1</v>
      </c>
      <c r="H6" s="26" t="n">
        <v>0</v>
      </c>
      <c r="I6" s="26" t="n">
        <v>8</v>
      </c>
      <c r="J6" s="26" t="n">
        <v>2</v>
      </c>
      <c r="K6" s="26" t="n">
        <v>1</v>
      </c>
      <c r="L6" s="26" t="n">
        <v>0</v>
      </c>
      <c r="M6" s="26" t="n">
        <v>2</v>
      </c>
      <c r="N6" s="26" t="n">
        <v>2</v>
      </c>
      <c r="O6" s="26" t="n">
        <v>10</v>
      </c>
      <c r="P6" s="26" t="n"/>
      <c r="Q6" s="26" t="n"/>
      <c r="R6" s="26" t="n"/>
      <c r="S6" s="26" t="n"/>
      <c r="T6" s="26" t="n"/>
      <c r="U6" s="26" t="n"/>
      <c r="X6" s="7" t="inlineStr">
        <is>
          <t>Lost</t>
        </is>
      </c>
      <c r="Y6" s="10">
        <f>SUMPRODUCT(($B$9:$U$9="L")*($B$16:$U$16=""))</f>
        <v/>
      </c>
    </row>
    <row r="7">
      <c r="A7" s="8" t="inlineStr">
        <is>
          <t>Their goals</t>
        </is>
      </c>
      <c r="B7" s="26" t="n">
        <v>4</v>
      </c>
      <c r="C7" s="26" t="n">
        <v>2</v>
      </c>
      <c r="D7" s="26" t="n">
        <v>4</v>
      </c>
      <c r="E7" s="26" t="n">
        <v>6</v>
      </c>
      <c r="F7" s="26" t="n">
        <v>3</v>
      </c>
      <c r="G7" s="26" t="n">
        <v>4</v>
      </c>
      <c r="H7" s="26" t="n">
        <v>6</v>
      </c>
      <c r="I7" s="26" t="n">
        <v>0</v>
      </c>
      <c r="J7" s="26" t="n">
        <v>10</v>
      </c>
      <c r="K7" s="26" t="n">
        <v>6</v>
      </c>
      <c r="L7" s="26" t="n">
        <v>5</v>
      </c>
      <c r="M7" s="26" t="n">
        <v>10</v>
      </c>
      <c r="N7" s="26" t="n">
        <v>5</v>
      </c>
      <c r="O7" s="26" t="n">
        <v>5</v>
      </c>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n"/>
      <c r="C10" s="27" t="n"/>
      <c r="D10" s="27" t="n"/>
      <c r="E10" s="27" t="n"/>
      <c r="F10" s="27" t="n"/>
      <c r="G10" s="27" t="n"/>
      <c r="H10" s="27" t="n"/>
      <c r="I10" s="27" t="n"/>
      <c r="J10" s="27" t="n"/>
      <c r="K10" s="27" t="inlineStr">
        <is>
          <t>Isaac Mond</t>
        </is>
      </c>
      <c r="L10" s="27" t="inlineStr">
        <is>
          <t>Phil Knott</t>
        </is>
      </c>
      <c r="M10" s="27" t="inlineStr">
        <is>
          <t>Seb Burgess</t>
        </is>
      </c>
      <c r="N10" s="27" t="inlineStr">
        <is>
          <t>Jake Ringer</t>
        </is>
      </c>
      <c r="O10" s="27" t="inlineStr">
        <is>
          <t>Eddie McLaughlin</t>
        </is>
      </c>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inlineStr">
        <is>
          <t>Forfeit</t>
        </is>
      </c>
      <c r="J12" s="17" t="n"/>
      <c r="K12" s="17" t="n"/>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inlineStr">
        <is>
          <t>Forfeit</t>
        </is>
      </c>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v>1</v>
      </c>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v>1</v>
      </c>
      <c r="C20" s="27" t="n">
        <v>1</v>
      </c>
      <c r="D20" s="27" t="n">
        <v>1</v>
      </c>
      <c r="E20" s="27" t="n">
        <v>1</v>
      </c>
      <c r="F20" s="27" t="n">
        <v>1</v>
      </c>
      <c r="G20" s="27" t="n">
        <v>1</v>
      </c>
      <c r="H20" s="27" t="n">
        <v>1</v>
      </c>
      <c r="I20" s="27" t="n"/>
      <c r="J20" s="27" t="n">
        <v>1</v>
      </c>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c r="C21" s="27" t="n"/>
      <c r="D21" s="27" t="n"/>
      <c r="E21" s="27" t="n"/>
      <c r="F21" s="27" t="n"/>
      <c r="G21" s="27" t="n"/>
      <c r="H21" s="27" t="n"/>
      <c r="I21" s="27" t="n"/>
      <c r="J21" s="27" t="n"/>
      <c r="K21" s="27" t="n">
        <v>1</v>
      </c>
      <c r="L21" s="27" t="n"/>
      <c r="M21" s="27" t="n"/>
      <c r="N21" s="27" t="n"/>
      <c r="O21" s="27" t="n"/>
      <c r="P21" s="27" t="n"/>
      <c r="Q21" s="27" t="n"/>
      <c r="R21" s="27" t="n"/>
      <c r="S21" s="27" t="n"/>
      <c r="T21" s="27" t="n"/>
      <c r="U21" s="27" t="n"/>
      <c r="V21" s="24">
        <f>SUMPRODUCT(B21:U21*($B$16:$U$16=""))</f>
        <v/>
      </c>
      <c r="W21" s="20">
        <f>SUMPRODUCT($B21:$U21,$B$15:$U$15)</f>
        <v/>
      </c>
    </row>
    <row r="22" ht="15.75" customHeight="1" s="38">
      <c r="A22" s="23" t="inlineStr">
        <is>
          <t>Callum McCarthy</t>
        </is>
      </c>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v>1</v>
      </c>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v>1</v>
      </c>
      <c r="P25" s="27" t="n"/>
      <c r="Q25" s="27" t="n"/>
      <c r="R25" s="27" t="n"/>
      <c r="S25" s="27" t="n"/>
      <c r="T25" s="27" t="n"/>
      <c r="U25" s="27" t="n"/>
      <c r="V25" s="24">
        <f>SUMPRODUCT(B25:U25*($B$16:$U$16=""))</f>
        <v/>
      </c>
      <c r="W25" s="20">
        <f>SUMPRODUCT($B25:$U25,$B$15:$U$15)</f>
        <v/>
      </c>
    </row>
    <row r="26" ht="15.75" customHeight="1" s="38">
      <c r="A26" s="23" t="inlineStr">
        <is>
          <t>Finn Cawley</t>
        </is>
      </c>
      <c r="B26" s="27" t="n"/>
      <c r="C26" s="27" t="n"/>
      <c r="D26" s="27" t="n"/>
      <c r="E26" s="27" t="n">
        <v>1</v>
      </c>
      <c r="F26" s="27" t="n"/>
      <c r="G26" s="27" t="n"/>
      <c r="H26" s="27" t="n"/>
      <c r="I26" s="27" t="n"/>
      <c r="J26" s="27" t="n"/>
      <c r="K26" s="27" t="n"/>
      <c r="L26" s="27" t="n"/>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v>1</v>
      </c>
      <c r="C27" s="27" t="n"/>
      <c r="D27" s="27" t="n">
        <v>1</v>
      </c>
      <c r="E27" s="27" t="n">
        <v>1</v>
      </c>
      <c r="F27" s="27" t="n">
        <v>1</v>
      </c>
      <c r="G27" s="27" t="n">
        <v>1</v>
      </c>
      <c r="H27" s="27" t="n">
        <v>1</v>
      </c>
      <c r="I27" s="27" t="n"/>
      <c r="J27" s="27" t="n">
        <v>1</v>
      </c>
      <c r="K27" s="27" t="n"/>
      <c r="L27" s="27" t="n"/>
      <c r="M27" s="27" t="n">
        <v>1</v>
      </c>
      <c r="N27" s="27" t="n">
        <v>1</v>
      </c>
      <c r="O27" s="27" t="n">
        <v>1</v>
      </c>
      <c r="P27" s="27" t="n"/>
      <c r="Q27" s="27" t="n"/>
      <c r="R27" s="27" t="n"/>
      <c r="S27" s="27" t="n"/>
      <c r="T27" s="27" t="n"/>
      <c r="U27" s="27" t="n"/>
      <c r="V27" s="24">
        <f>SUMPRODUCT(B27:U27*($B$16:$U$16=""))</f>
        <v/>
      </c>
      <c r="W27" s="20">
        <f>SUMPRODUCT($B27:$U27,$B$15:$U$15)</f>
        <v/>
      </c>
    </row>
    <row r="28" ht="15.75" customHeight="1" s="38">
      <c r="A28" s="23" t="inlineStr">
        <is>
          <t>Henry Linklater</t>
        </is>
      </c>
      <c r="B28" s="27" t="n"/>
      <c r="C28" s="27" t="n"/>
      <c r="D28" s="27" t="n"/>
      <c r="E28" s="27" t="n"/>
      <c r="F28" s="27" t="n"/>
      <c r="G28" s="27" t="n"/>
      <c r="H28" s="27" t="n">
        <v>1</v>
      </c>
      <c r="I28" s="27" t="n"/>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v>1</v>
      </c>
      <c r="C29" s="27" t="n">
        <v>1</v>
      </c>
      <c r="D29" s="27" t="n"/>
      <c r="E29" s="27" t="n"/>
      <c r="F29" s="27" t="n"/>
      <c r="G29" s="27" t="n"/>
      <c r="H29" s="27" t="n"/>
      <c r="I29" s="27" t="n"/>
      <c r="J29" s="27" t="n">
        <v>1</v>
      </c>
      <c r="K29" s="27" t="n">
        <v>1</v>
      </c>
      <c r="L29" s="27" t="n">
        <v>1</v>
      </c>
      <c r="M29" s="27" t="n">
        <v>1</v>
      </c>
      <c r="N29" s="27" t="n">
        <v>1</v>
      </c>
      <c r="O29" s="27" t="n">
        <v>1</v>
      </c>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v>1</v>
      </c>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v>1</v>
      </c>
      <c r="C34" s="27" t="n">
        <v>1</v>
      </c>
      <c r="D34" s="27" t="n">
        <v>1</v>
      </c>
      <c r="E34" s="27" t="n">
        <v>1</v>
      </c>
      <c r="F34" s="27" t="n">
        <v>1</v>
      </c>
      <c r="G34" s="27" t="n">
        <v>1</v>
      </c>
      <c r="H34" s="27" t="n">
        <v>1</v>
      </c>
      <c r="I34" s="27" t="n"/>
      <c r="J34" s="27" t="n">
        <v>1</v>
      </c>
      <c r="K34" s="27" t="n">
        <v>1</v>
      </c>
      <c r="L34" s="27" t="n">
        <v>1</v>
      </c>
      <c r="M34" s="27" t="n"/>
      <c r="N34" s="27" t="n">
        <v>1</v>
      </c>
      <c r="O34" s="27" t="n">
        <v>1</v>
      </c>
      <c r="P34" s="27" t="n"/>
      <c r="Q34" s="27" t="n"/>
      <c r="R34" s="27" t="n"/>
      <c r="S34" s="27" t="n"/>
      <c r="T34" s="27" t="n"/>
      <c r="U34" s="27" t="n"/>
      <c r="V34" s="24">
        <f>SUMPRODUCT(B34:U34*($B$16:$U$16=""))</f>
        <v/>
      </c>
      <c r="W34" s="20">
        <f>SUMPRODUCT($B34:$U34,$B$15:$U$15)</f>
        <v/>
      </c>
    </row>
    <row r="35" ht="15.75" customHeight="1" s="38">
      <c r="A35" s="23" t="inlineStr">
        <is>
          <t>Neeraj Radia</t>
        </is>
      </c>
      <c r="B35" s="27" t="n">
        <v>1</v>
      </c>
      <c r="C35" s="27" t="n"/>
      <c r="D35" s="27" t="n">
        <v>1</v>
      </c>
      <c r="E35" s="27" t="n"/>
      <c r="F35" s="27" t="n"/>
      <c r="G35" s="27" t="n"/>
      <c r="H35" s="27" t="n"/>
      <c r="I35" s="27" t="n"/>
      <c r="J35" s="27" t="n">
        <v>1</v>
      </c>
      <c r="K35" s="27" t="n">
        <v>1</v>
      </c>
      <c r="L35" s="27" t="n">
        <v>1</v>
      </c>
      <c r="M35" s="27" t="n">
        <v>1</v>
      </c>
      <c r="N35" s="27" t="n"/>
      <c r="O35" s="27" t="n">
        <v>1</v>
      </c>
      <c r="P35" s="27" t="n"/>
      <c r="Q35" s="27" t="n"/>
      <c r="R35" s="27" t="n"/>
      <c r="S35" s="27" t="n"/>
      <c r="T35" s="27" t="n"/>
      <c r="U35" s="27" t="n"/>
      <c r="V35" s="24">
        <f>SUMPRODUCT(B35:U35*($B$16:$U$16=""))</f>
        <v/>
      </c>
      <c r="W35" s="20">
        <f>SUMPRODUCT($B35:$U35,$B$15:$U$15)</f>
        <v/>
      </c>
    </row>
    <row r="36" ht="15.75" customHeight="1" s="38">
      <c r="A36" s="23" t="inlineStr">
        <is>
          <t>Phil Knott</t>
        </is>
      </c>
      <c r="B36" s="27" t="n">
        <v>1</v>
      </c>
      <c r="C36" s="27" t="n">
        <v>1</v>
      </c>
      <c r="D36" s="27" t="n">
        <v>1</v>
      </c>
      <c r="E36" s="27" t="n"/>
      <c r="F36" s="27" t="n">
        <v>1</v>
      </c>
      <c r="G36" s="27" t="n"/>
      <c r="H36" s="27" t="n">
        <v>1</v>
      </c>
      <c r="I36" s="27" t="n"/>
      <c r="J36" s="27" t="n"/>
      <c r="K36" s="27" t="n">
        <v>1</v>
      </c>
      <c r="L36" s="27" t="n">
        <v>1</v>
      </c>
      <c r="M36" s="27" t="n">
        <v>1</v>
      </c>
      <c r="N36" s="27" t="n">
        <v>1</v>
      </c>
      <c r="O36" s="27" t="n"/>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v>1</v>
      </c>
      <c r="C38" s="27" t="n">
        <v>1</v>
      </c>
      <c r="D38" s="27" t="n">
        <v>1</v>
      </c>
      <c r="E38" s="27" t="n">
        <v>1</v>
      </c>
      <c r="F38" s="27" t="n">
        <v>1</v>
      </c>
      <c r="G38" s="27" t="n">
        <v>1</v>
      </c>
      <c r="H38" s="27" t="n">
        <v>1</v>
      </c>
      <c r="I38" s="27" t="n"/>
      <c r="J38" s="27" t="n">
        <v>1</v>
      </c>
      <c r="K38" s="27" t="n">
        <v>1</v>
      </c>
      <c r="L38" s="27" t="n">
        <v>1</v>
      </c>
      <c r="M38" s="27" t="n"/>
      <c r="N38" s="27" t="n"/>
      <c r="O38" s="27" t="n">
        <v>1</v>
      </c>
      <c r="P38" s="27" t="n"/>
      <c r="Q38" s="27" t="n"/>
      <c r="R38" s="27" t="n"/>
      <c r="S38" s="27" t="n"/>
      <c r="T38" s="27" t="n"/>
      <c r="U38" s="27" t="n"/>
      <c r="V38" s="24">
        <f>SUMPRODUCT(B38:U38*($B$16:$U$16=""))</f>
        <v/>
      </c>
      <c r="W38" s="20">
        <f>SUMPRODUCT($B38:$U38,$B$15:$U$15)</f>
        <v/>
      </c>
    </row>
    <row r="39" ht="15.75" customHeight="1" s="38">
      <c r="A39" s="23" t="inlineStr">
        <is>
          <t>Seb Burgess</t>
        </is>
      </c>
      <c r="B39" s="27" t="n">
        <v>1</v>
      </c>
      <c r="C39" s="27" t="n"/>
      <c r="D39" s="27" t="n"/>
      <c r="E39" s="27" t="n"/>
      <c r="F39" s="27" t="n">
        <v>1</v>
      </c>
      <c r="G39" s="27" t="n">
        <v>1</v>
      </c>
      <c r="H39" s="27" t="n">
        <v>1</v>
      </c>
      <c r="I39" s="27" t="n"/>
      <c r="J39" s="27" t="n">
        <v>1</v>
      </c>
      <c r="K39" s="27" t="n">
        <v>1</v>
      </c>
      <c r="L39" s="27" t="n"/>
      <c r="M39" s="27" t="n">
        <v>1</v>
      </c>
      <c r="N39" s="27" t="n">
        <v>1</v>
      </c>
      <c r="O39" s="27" t="n">
        <v>1</v>
      </c>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v>1</v>
      </c>
      <c r="C51" s="27" t="n"/>
      <c r="D51" s="27" t="n"/>
      <c r="E51" s="27" t="n"/>
      <c r="F51" s="27" t="n"/>
      <c r="G51" s="27" t="n"/>
      <c r="H51" s="27" t="n"/>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v>4</v>
      </c>
      <c r="P56" s="27" t="n"/>
      <c r="Q56" s="27" t="n"/>
      <c r="R56" s="27" t="n"/>
      <c r="S56" s="27" t="n"/>
      <c r="T56" s="27" t="n"/>
      <c r="U56" s="27" t="n"/>
      <c r="V56" s="24">
        <f>SUMPRODUCT(B56:U56*($B$16:$U$16=""))</f>
        <v/>
      </c>
    </row>
    <row r="57" ht="15.75" customHeight="1" s="38">
      <c r="A57" s="23">
        <f>IF($A26="","",$A26)</f>
        <v/>
      </c>
      <c r="B57" s="27" t="n"/>
      <c r="C57" s="27" t="n"/>
      <c r="D57" s="27" t="n"/>
      <c r="E57" s="27" t="n">
        <v>1</v>
      </c>
      <c r="F57" s="27" t="n"/>
      <c r="G57" s="27" t="n"/>
      <c r="H57" s="27" t="n"/>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c r="C58" s="27" t="n"/>
      <c r="D58" s="27" t="n">
        <v>1</v>
      </c>
      <c r="E58" s="27" t="n"/>
      <c r="F58" s="27" t="n"/>
      <c r="G58" s="27" t="n"/>
      <c r="H58" s="27" t="n"/>
      <c r="I58" s="27" t="n"/>
      <c r="J58" s="27" t="n">
        <v>1</v>
      </c>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c r="J60" s="27" t="n"/>
      <c r="K60" s="27" t="n"/>
      <c r="L60" s="27" t="n"/>
      <c r="M60" s="27" t="n"/>
      <c r="N60" s="27" t="n"/>
      <c r="O60" s="27" t="n">
        <v>1</v>
      </c>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c r="C65" s="27" t="n"/>
      <c r="D65" s="27" t="n"/>
      <c r="E65" s="27" t="n"/>
      <c r="F65" s="27" t="n">
        <v>2</v>
      </c>
      <c r="G65" s="27" t="n">
        <v>1</v>
      </c>
      <c r="H65" s="27" t="n"/>
      <c r="I65" s="27" t="n"/>
      <c r="J65" s="27" t="n"/>
      <c r="K65" s="27" t="n">
        <v>1</v>
      </c>
      <c r="L65" s="27" t="n"/>
      <c r="M65" s="27" t="n"/>
      <c r="N65" s="27" t="n"/>
      <c r="O65" s="27" t="n">
        <v>1</v>
      </c>
      <c r="P65" s="27" t="n"/>
      <c r="Q65" s="27" t="n"/>
      <c r="R65" s="27" t="n"/>
      <c r="S65" s="27" t="n"/>
      <c r="T65" s="27" t="n"/>
      <c r="U65" s="27" t="n"/>
      <c r="V65" s="24">
        <f>SUMPRODUCT(B65:U65*($B$16:$U$16=""))</f>
        <v/>
      </c>
    </row>
    <row r="66" ht="15.75" customHeight="1" s="38">
      <c r="A66" s="23">
        <f>IF($A35="","",$A35)</f>
        <v/>
      </c>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v>1</v>
      </c>
      <c r="C67" s="27" t="n"/>
      <c r="D67" s="27" t="n"/>
      <c r="E67" s="27" t="n"/>
      <c r="F67" s="27" t="n">
        <v>1</v>
      </c>
      <c r="G67" s="27" t="n"/>
      <c r="H67" s="27" t="n"/>
      <c r="I67" s="27" t="n"/>
      <c r="J67" s="27" t="n"/>
      <c r="K67" s="27" t="n"/>
      <c r="L67" s="27" t="n"/>
      <c r="M67" s="27" t="n"/>
      <c r="N67" s="27" t="n">
        <v>1</v>
      </c>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v>1</v>
      </c>
      <c r="C70" s="27" t="n"/>
      <c r="D70" s="27" t="n"/>
      <c r="E70" s="27" t="n"/>
      <c r="F70" s="27" t="n">
        <v>2</v>
      </c>
      <c r="G70" s="27" t="n"/>
      <c r="H70" s="27" t="n"/>
      <c r="I70" s="27" t="n"/>
      <c r="J70" s="27" t="n">
        <v>1</v>
      </c>
      <c r="K70" s="27" t="n"/>
      <c r="L70" s="27" t="n"/>
      <c r="M70" s="27" t="n">
        <v>1</v>
      </c>
      <c r="N70" s="27" t="n">
        <v>1</v>
      </c>
      <c r="O70" s="27" t="n">
        <v>4</v>
      </c>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v>1</v>
      </c>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v>2</v>
      </c>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v>1</v>
      </c>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v>4</v>
      </c>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v>1</v>
      </c>
      <c r="P97" s="27" t="n"/>
      <c r="Q97" s="27" t="n"/>
      <c r="R97" s="27" t="n"/>
      <c r="S97" s="27" t="n"/>
      <c r="T97" s="27" t="n"/>
      <c r="U97" s="27" t="n"/>
      <c r="V97" s="24">
        <f>SUMPRODUCT(B97:U97*($B$16:$U$16=""))</f>
        <v/>
      </c>
    </row>
    <row r="98" ht="15.75" customHeight="1" s="38">
      <c r="A98" s="23">
        <f>IF($A36="","",$A36)</f>
        <v/>
      </c>
      <c r="B98" s="27" t="n"/>
      <c r="C98" s="27" t="n"/>
      <c r="D98" s="27" t="n"/>
      <c r="E98" s="27" t="n"/>
      <c r="F98" s="27" t="n"/>
      <c r="G98" s="27" t="n"/>
      <c r="H98" s="27" t="n"/>
      <c r="I98" s="27" t="n"/>
      <c r="J98" s="27" t="n"/>
      <c r="K98" s="27" t="n">
        <v>1</v>
      </c>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v>1</v>
      </c>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v>1</v>
      </c>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6 · PlayFootball Old Street (5G, 6-a-side) · Feb–May 2026</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46065</v>
      </c>
      <c r="C3" s="9" t="n">
        <v>46072</v>
      </c>
      <c r="D3" s="9" t="n">
        <v>46079</v>
      </c>
      <c r="E3" s="9" t="n">
        <v>46086</v>
      </c>
      <c r="F3" s="9" t="n">
        <v>46093</v>
      </c>
      <c r="G3" s="9" t="n">
        <v>46100</v>
      </c>
      <c r="H3" s="9" t="n">
        <v>46107</v>
      </c>
      <c r="I3" s="9" t="n">
        <v>46114</v>
      </c>
      <c r="J3" s="9" t="n">
        <v>46121</v>
      </c>
      <c r="K3" s="9" t="n">
        <v>46128</v>
      </c>
      <c r="L3" s="9" t="n">
        <v>46135</v>
      </c>
      <c r="M3" s="9" t="n">
        <v>46142</v>
      </c>
      <c r="N3" s="9" t="n">
        <v>46149</v>
      </c>
      <c r="O3" s="9" t="n">
        <v>46156</v>
      </c>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Enjoy Your Mane Jane</t>
        </is>
      </c>
      <c r="C5" s="12" t="inlineStr">
        <is>
          <t>MOB FC</t>
        </is>
      </c>
      <c r="D5" s="12" t="inlineStr">
        <is>
          <t>Cottesmore FC</t>
        </is>
      </c>
      <c r="E5" s="12" t="inlineStr">
        <is>
          <t>Green of the South</t>
        </is>
      </c>
      <c r="F5" s="12" t="inlineStr">
        <is>
          <t>Vauban FC</t>
        </is>
      </c>
      <c r="G5" s="12" t="inlineStr">
        <is>
          <t>The Britannias</t>
        </is>
      </c>
      <c r="H5" s="12" t="inlineStr">
        <is>
          <t>Old Ivy</t>
        </is>
      </c>
      <c r="I5" s="12" t="inlineStr">
        <is>
          <t>MOB FC</t>
        </is>
      </c>
      <c r="J5" s="12" t="inlineStr">
        <is>
          <t>Enjoy Your Mane Jane</t>
        </is>
      </c>
      <c r="K5" s="12" t="inlineStr">
        <is>
          <t>Vauban FC</t>
        </is>
      </c>
      <c r="L5" s="12" t="inlineStr">
        <is>
          <t>The Britannias</t>
        </is>
      </c>
      <c r="M5" s="12" t="inlineStr">
        <is>
          <t>Green of the South</t>
        </is>
      </c>
      <c r="N5" s="12" t="inlineStr">
        <is>
          <t>Old Ivy</t>
        </is>
      </c>
      <c r="O5" s="12" t="inlineStr">
        <is>
          <t>Cottesmore FC</t>
        </is>
      </c>
      <c r="P5" s="12" t="n"/>
      <c r="Q5" s="12" t="n"/>
      <c r="R5" s="12" t="n"/>
      <c r="S5" s="12" t="n"/>
      <c r="T5" s="12" t="n"/>
      <c r="U5" s="12" t="n"/>
      <c r="X5" s="7" t="inlineStr">
        <is>
          <t>Drawn</t>
        </is>
      </c>
      <c r="Y5" s="10">
        <f>SUMPRODUCT(($B$9:$U$9="D")*($B$16:$U$16=""))</f>
        <v/>
      </c>
    </row>
    <row r="6">
      <c r="A6" s="8" t="inlineStr">
        <is>
          <t>Our goals</t>
        </is>
      </c>
      <c r="B6" s="26" t="n">
        <v>3</v>
      </c>
      <c r="C6" s="26" t="n">
        <v>8</v>
      </c>
      <c r="D6" s="26" t="n">
        <v>4</v>
      </c>
      <c r="E6" s="26" t="n">
        <v>3</v>
      </c>
      <c r="F6" s="26" t="n">
        <v>2</v>
      </c>
      <c r="G6" s="26" t="n">
        <v>0</v>
      </c>
      <c r="H6" s="26" t="n">
        <v>2</v>
      </c>
      <c r="I6" s="26" t="n">
        <v>4</v>
      </c>
      <c r="J6" s="26" t="n">
        <v>2</v>
      </c>
      <c r="K6" s="26" t="n">
        <v>6</v>
      </c>
      <c r="L6" s="26" t="n">
        <v>1</v>
      </c>
      <c r="M6" s="26" t="n">
        <v>3</v>
      </c>
      <c r="N6" s="26" t="n">
        <v>7</v>
      </c>
      <c r="O6" s="26" t="n">
        <v>2</v>
      </c>
      <c r="P6" s="26" t="n"/>
      <c r="Q6" s="26" t="n"/>
      <c r="R6" s="26" t="n"/>
      <c r="S6" s="26" t="n"/>
      <c r="T6" s="26" t="n"/>
      <c r="U6" s="26" t="n"/>
      <c r="X6" s="7" t="inlineStr">
        <is>
          <t>Lost</t>
        </is>
      </c>
      <c r="Y6" s="10">
        <f>SUMPRODUCT(($B$9:$U$9="L")*($B$16:$U$16=""))</f>
        <v/>
      </c>
    </row>
    <row r="7">
      <c r="A7" s="8" t="inlineStr">
        <is>
          <t>Their goals</t>
        </is>
      </c>
      <c r="B7" s="26" t="n">
        <v>11</v>
      </c>
      <c r="C7" s="26" t="n">
        <v>2</v>
      </c>
      <c r="D7" s="26" t="n">
        <v>7</v>
      </c>
      <c r="E7" s="26" t="n">
        <v>3</v>
      </c>
      <c r="F7" s="26" t="n">
        <v>8</v>
      </c>
      <c r="G7" s="26" t="n">
        <v>6</v>
      </c>
      <c r="H7" s="26" t="n">
        <v>11</v>
      </c>
      <c r="I7" s="26" t="n">
        <v>6</v>
      </c>
      <c r="J7" s="26" t="n">
        <v>2</v>
      </c>
      <c r="K7" s="26" t="n">
        <v>4</v>
      </c>
      <c r="L7" s="26" t="n">
        <v>11</v>
      </c>
      <c r="M7" s="26" t="n">
        <v>7</v>
      </c>
      <c r="N7" s="26" t="n">
        <v>16</v>
      </c>
      <c r="O7" s="26" t="n">
        <v>7</v>
      </c>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n"/>
      <c r="C10" s="27" t="inlineStr">
        <is>
          <t>Phil Knott</t>
        </is>
      </c>
      <c r="D10" s="27" t="n"/>
      <c r="E10" s="27" t="n"/>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c r="C21" s="27" t="n"/>
      <c r="D21" s="27" t="n"/>
      <c r="E21" s="27" t="n"/>
      <c r="F21" s="27" t="n">
        <v>1</v>
      </c>
      <c r="G21" s="27" t="n"/>
      <c r="H21" s="27" t="n">
        <v>1</v>
      </c>
      <c r="I21" s="27" t="n">
        <v>1</v>
      </c>
      <c r="J21" s="27" t="n"/>
      <c r="K21" s="27" t="n">
        <v>1</v>
      </c>
      <c r="L21" s="27" t="n"/>
      <c r="M21" s="27" t="n">
        <v>1</v>
      </c>
      <c r="N21" s="27" t="n">
        <v>1</v>
      </c>
      <c r="O21" s="27" t="n"/>
      <c r="P21" s="27" t="n"/>
      <c r="Q21" s="27" t="n"/>
      <c r="R21" s="27" t="n"/>
      <c r="S21" s="27" t="n"/>
      <c r="T21" s="27" t="n"/>
      <c r="U21" s="27" t="n"/>
      <c r="V21" s="24">
        <f>SUMPRODUCT(B21:U21*($B$16:$U$16=""))</f>
        <v/>
      </c>
      <c r="W21" s="20">
        <f>SUMPRODUCT($B21:$U21,$B$15:$U$15)</f>
        <v/>
      </c>
    </row>
    <row r="22" ht="15.75" customHeight="1" s="38">
      <c r="A22" s="23" t="inlineStr">
        <is>
          <t>Callum McCarthy</t>
        </is>
      </c>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v>1</v>
      </c>
      <c r="M24" s="27" t="n">
        <v>1</v>
      </c>
      <c r="N24" s="27" t="n">
        <v>1</v>
      </c>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v>1</v>
      </c>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v>1</v>
      </c>
      <c r="C26" s="27" t="n"/>
      <c r="D26" s="27" t="n"/>
      <c r="E26" s="27" t="n"/>
      <c r="F26" s="27" t="n"/>
      <c r="G26" s="27" t="n"/>
      <c r="H26" s="27" t="n">
        <v>1</v>
      </c>
      <c r="I26" s="27" t="n"/>
      <c r="J26" s="27" t="n"/>
      <c r="K26" s="27" t="n"/>
      <c r="L26" s="27" t="n"/>
      <c r="M26" s="27" t="n">
        <v>1</v>
      </c>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4">
        <f>SUMPRODUCT(B27:U27*($B$16:$U$16=""))</f>
        <v/>
      </c>
      <c r="W27" s="20">
        <f>SUMPRODUCT($B27:$U27,$B$15:$U$15)</f>
        <v/>
      </c>
    </row>
    <row r="28" ht="15.75" customHeight="1" s="38">
      <c r="A28" s="23" t="inlineStr">
        <is>
          <t>Henry Linklater</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c r="C29" s="27" t="n"/>
      <c r="D29" s="27" t="n"/>
      <c r="E29" s="27" t="n">
        <v>1</v>
      </c>
      <c r="F29" s="27" t="n">
        <v>1</v>
      </c>
      <c r="G29" s="27" t="n">
        <v>1</v>
      </c>
      <c r="H29" s="27" t="n"/>
      <c r="I29" s="27" t="n"/>
      <c r="J29" s="27" t="n"/>
      <c r="K29" s="27" t="n"/>
      <c r="L29" s="27" t="n">
        <v>1</v>
      </c>
      <c r="M29" s="27" t="n"/>
      <c r="N29" s="27" t="n">
        <v>1</v>
      </c>
      <c r="O29" s="27" t="n">
        <v>1</v>
      </c>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v>1</v>
      </c>
      <c r="D31" s="27" t="n"/>
      <c r="E31" s="27" t="n"/>
      <c r="F31" s="27" t="n"/>
      <c r="G31" s="27" t="n">
        <v>1</v>
      </c>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v>1</v>
      </c>
      <c r="E32" s="27" t="n">
        <v>1</v>
      </c>
      <c r="F32" s="27" t="n">
        <v>1</v>
      </c>
      <c r="G32" s="27" t="n">
        <v>1</v>
      </c>
      <c r="H32" s="27" t="n"/>
      <c r="I32" s="27" t="n">
        <v>1</v>
      </c>
      <c r="J32" s="27" t="n">
        <v>1</v>
      </c>
      <c r="K32" s="27" t="n">
        <v>1</v>
      </c>
      <c r="L32" s="27" t="n">
        <v>1</v>
      </c>
      <c r="M32" s="27" t="n"/>
      <c r="N32" s="27" t="n"/>
      <c r="O32" s="27" t="n">
        <v>1</v>
      </c>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v>1</v>
      </c>
      <c r="E33" s="27" t="n">
        <v>1</v>
      </c>
      <c r="F33" s="27" t="n">
        <v>1</v>
      </c>
      <c r="G33" s="27" t="n">
        <v>1</v>
      </c>
      <c r="H33" s="27" t="n">
        <v>1</v>
      </c>
      <c r="I33" s="27" t="n">
        <v>1</v>
      </c>
      <c r="J33" s="27" t="n">
        <v>1</v>
      </c>
      <c r="K33" s="27" t="n">
        <v>1</v>
      </c>
      <c r="L33" s="27" t="n">
        <v>1</v>
      </c>
      <c r="M33" s="27" t="n">
        <v>1</v>
      </c>
      <c r="N33" s="27" t="n">
        <v>1</v>
      </c>
      <c r="O33" s="27" t="n">
        <v>1</v>
      </c>
      <c r="P33" s="27" t="n"/>
      <c r="Q33" s="27" t="n"/>
      <c r="R33" s="27" t="n"/>
      <c r="S33" s="27" t="n"/>
      <c r="T33" s="27" t="n"/>
      <c r="U33" s="27" t="n"/>
      <c r="V33" s="24">
        <f>SUMPRODUCT(B33:U33*($B$16:$U$16=""))</f>
        <v/>
      </c>
      <c r="W33" s="20">
        <f>SUMPRODUCT($B33:$U33,$B$15:$U$15)</f>
        <v/>
      </c>
    </row>
    <row r="34" ht="15.75" customHeight="1" s="38">
      <c r="A34" s="23" t="inlineStr">
        <is>
          <t>Max Cobain</t>
        </is>
      </c>
      <c r="B34" s="27" t="n"/>
      <c r="C34" s="27" t="n">
        <v>1</v>
      </c>
      <c r="D34" s="27" t="n"/>
      <c r="E34" s="27" t="n">
        <v>1</v>
      </c>
      <c r="F34" s="27" t="n"/>
      <c r="G34" s="27" t="n">
        <v>1</v>
      </c>
      <c r="H34" s="27" t="n">
        <v>1</v>
      </c>
      <c r="I34" s="27" t="n">
        <v>1</v>
      </c>
      <c r="J34" s="27" t="n">
        <v>1</v>
      </c>
      <c r="K34" s="27" t="n">
        <v>1</v>
      </c>
      <c r="L34" s="27" t="n"/>
      <c r="M34" s="27" t="n">
        <v>1</v>
      </c>
      <c r="N34" s="27" t="n">
        <v>1</v>
      </c>
      <c r="O34" s="27" t="n">
        <v>1</v>
      </c>
      <c r="P34" s="27" t="n"/>
      <c r="Q34" s="27" t="n"/>
      <c r="R34" s="27" t="n"/>
      <c r="S34" s="27" t="n"/>
      <c r="T34" s="27" t="n"/>
      <c r="U34" s="27" t="n"/>
      <c r="V34" s="24">
        <f>SUMPRODUCT(B34:U34*($B$16:$U$16=""))</f>
        <v/>
      </c>
      <c r="W34" s="20">
        <f>SUMPRODUCT($B34:$U34,$B$15:$U$15)</f>
        <v/>
      </c>
    </row>
    <row r="35" ht="15.75" customHeight="1" s="38">
      <c r="A35" s="23" t="inlineStr">
        <is>
          <t>Neeraj Radia</t>
        </is>
      </c>
      <c r="B35" s="27" t="n"/>
      <c r="C35" s="27" t="n"/>
      <c r="D35" s="27" t="n"/>
      <c r="E35" s="27" t="n"/>
      <c r="F35" s="27" t="n"/>
      <c r="G35" s="27" t="n"/>
      <c r="H35" s="27" t="n">
        <v>1</v>
      </c>
      <c r="I35" s="27" t="n"/>
      <c r="J35" s="27" t="n">
        <v>1</v>
      </c>
      <c r="K35" s="27" t="n"/>
      <c r="L35" s="27" t="n"/>
      <c r="M35" s="27" t="n"/>
      <c r="N35" s="27" t="n">
        <v>1</v>
      </c>
      <c r="O35" s="27" t="n">
        <v>1</v>
      </c>
      <c r="P35" s="27" t="n"/>
      <c r="Q35" s="27" t="n"/>
      <c r="R35" s="27" t="n"/>
      <c r="S35" s="27" t="n"/>
      <c r="T35" s="27" t="n"/>
      <c r="U35" s="27" t="n"/>
      <c r="V35" s="24">
        <f>SUMPRODUCT(B35:U35*($B$16:$U$16=""))</f>
        <v/>
      </c>
      <c r="W35" s="20">
        <f>SUMPRODUCT($B35:$U35,$B$15:$U$15)</f>
        <v/>
      </c>
    </row>
    <row r="36" ht="15.75" customHeight="1" s="38">
      <c r="A36" s="23" t="inlineStr">
        <is>
          <t>Phil Knott</t>
        </is>
      </c>
      <c r="B36" s="27" t="n">
        <v>1</v>
      </c>
      <c r="C36" s="27" t="n">
        <v>1</v>
      </c>
      <c r="D36" s="27" t="n"/>
      <c r="E36" s="27" t="n">
        <v>1</v>
      </c>
      <c r="F36" s="27" t="n">
        <v>1</v>
      </c>
      <c r="G36" s="27" t="n"/>
      <c r="H36" s="27" t="n">
        <v>1</v>
      </c>
      <c r="I36" s="27" t="n">
        <v>1</v>
      </c>
      <c r="J36" s="27" t="n">
        <v>1</v>
      </c>
      <c r="K36" s="27" t="n">
        <v>1</v>
      </c>
      <c r="L36" s="27" t="n"/>
      <c r="M36" s="27" t="n">
        <v>1</v>
      </c>
      <c r="N36" s="27" t="n"/>
      <c r="O36" s="27" t="n">
        <v>1</v>
      </c>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c r="C38" s="27" t="n"/>
      <c r="D38" s="27" t="n">
        <v>1</v>
      </c>
      <c r="E38" s="27" t="n">
        <v>1</v>
      </c>
      <c r="F38" s="27" t="n">
        <v>1</v>
      </c>
      <c r="G38" s="27" t="n"/>
      <c r="H38" s="27" t="n">
        <v>1</v>
      </c>
      <c r="I38" s="27" t="n">
        <v>1</v>
      </c>
      <c r="J38" s="27" t="n">
        <v>1</v>
      </c>
      <c r="K38" s="27" t="n">
        <v>1</v>
      </c>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v>1</v>
      </c>
      <c r="C39" s="27" t="n">
        <v>1</v>
      </c>
      <c r="D39" s="27" t="n">
        <v>1</v>
      </c>
      <c r="E39" s="27" t="n">
        <v>1</v>
      </c>
      <c r="F39" s="27" t="n">
        <v>1</v>
      </c>
      <c r="G39" s="27" t="n">
        <v>1</v>
      </c>
      <c r="H39" s="27" t="n"/>
      <c r="I39" s="27" t="n">
        <v>1</v>
      </c>
      <c r="J39" s="27" t="n">
        <v>1</v>
      </c>
      <c r="K39" s="27" t="n">
        <v>1</v>
      </c>
      <c r="L39" s="27" t="n">
        <v>1</v>
      </c>
      <c r="M39" s="27" t="n">
        <v>1</v>
      </c>
      <c r="N39" s="27" t="n">
        <v>1</v>
      </c>
      <c r="O39" s="27" t="n">
        <v>1</v>
      </c>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c r="J52" s="27" t="n"/>
      <c r="K52" s="27" t="n">
        <v>1</v>
      </c>
      <c r="L52" s="27" t="n"/>
      <c r="M52" s="27" t="n"/>
      <c r="N52" s="27" t="n"/>
      <c r="O52" s="27" t="n"/>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v>2</v>
      </c>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c r="C57" s="27" t="n"/>
      <c r="D57" s="27" t="n"/>
      <c r="E57" s="27" t="n"/>
      <c r="F57" s="27" t="n"/>
      <c r="G57" s="27" t="n"/>
      <c r="H57" s="27" t="n">
        <v>2</v>
      </c>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v>1</v>
      </c>
      <c r="F63" s="27" t="n"/>
      <c r="G63" s="27" t="n"/>
      <c r="H63" s="27" t="n"/>
      <c r="I63" s="27" t="n">
        <v>2</v>
      </c>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v>2</v>
      </c>
      <c r="E64" s="27" t="n">
        <v>1</v>
      </c>
      <c r="F64" s="27" t="n"/>
      <c r="G64" s="27" t="n"/>
      <c r="H64" s="27" t="n"/>
      <c r="I64" s="27" t="n">
        <v>1</v>
      </c>
      <c r="J64" s="27" t="n"/>
      <c r="K64" s="27" t="n"/>
      <c r="L64" s="27" t="n"/>
      <c r="M64" s="27" t="n">
        <v>1</v>
      </c>
      <c r="N64" s="27" t="n">
        <v>1</v>
      </c>
      <c r="O64" s="27" t="n"/>
      <c r="P64" s="27" t="n"/>
      <c r="Q64" s="27" t="n"/>
      <c r="R64" s="27" t="n"/>
      <c r="S64" s="27" t="n"/>
      <c r="T64" s="27" t="n"/>
      <c r="U64" s="27" t="n"/>
      <c r="V64" s="24">
        <f>SUMPRODUCT(B64:U64*($B$16:$U$16=""))</f>
        <v/>
      </c>
    </row>
    <row r="65" ht="15.75" customHeight="1" s="38">
      <c r="A65" s="23">
        <f>IF($A34="","",$A34)</f>
        <v/>
      </c>
      <c r="B65" s="27" t="n"/>
      <c r="C65" s="27" t="n">
        <v>1</v>
      </c>
      <c r="D65" s="27" t="n"/>
      <c r="E65" s="27" t="n">
        <v>1</v>
      </c>
      <c r="F65" s="27" t="n"/>
      <c r="G65" s="27" t="n"/>
      <c r="H65" s="27" t="n"/>
      <c r="I65" s="27" t="n"/>
      <c r="J65" s="27" t="n"/>
      <c r="K65" s="27" t="n">
        <v>1</v>
      </c>
      <c r="L65" s="27" t="n"/>
      <c r="M65" s="27" t="n"/>
      <c r="N65" s="27" t="n"/>
      <c r="O65" s="27" t="n"/>
      <c r="P65" s="27" t="n"/>
      <c r="Q65" s="27" t="n"/>
      <c r="R65" s="27" t="n"/>
      <c r="S65" s="27" t="n"/>
      <c r="T65" s="27" t="n"/>
      <c r="U65" s="27" t="n"/>
      <c r="V65" s="24">
        <f>SUMPRODUCT(B65:U65*($B$16:$U$16=""))</f>
        <v/>
      </c>
    </row>
    <row r="66" ht="15.75" customHeight="1" s="38">
      <c r="A66" s="23">
        <f>IF($A35="","",$A35)</f>
        <v/>
      </c>
      <c r="B66" s="27" t="n"/>
      <c r="C66" s="27" t="n"/>
      <c r="D66" s="27" t="n"/>
      <c r="E66" s="27" t="n"/>
      <c r="F66" s="27" t="n"/>
      <c r="G66" s="27" t="n"/>
      <c r="H66" s="27" t="n"/>
      <c r="I66" s="27" t="n"/>
      <c r="J66" s="27" t="n"/>
      <c r="K66" s="27" t="n"/>
      <c r="L66" s="27" t="n"/>
      <c r="M66" s="27" t="n"/>
      <c r="N66" s="27" t="n">
        <v>1</v>
      </c>
      <c r="O66" s="27" t="n"/>
      <c r="P66" s="27" t="n"/>
      <c r="Q66" s="27" t="n"/>
      <c r="R66" s="27" t="n"/>
      <c r="S66" s="27" t="n"/>
      <c r="T66" s="27" t="n"/>
      <c r="U66" s="27" t="n"/>
      <c r="V66" s="24">
        <f>SUMPRODUCT(B66:U66*($B$16:$U$16=""))</f>
        <v/>
      </c>
    </row>
    <row r="67" ht="15.75" customHeight="1" s="38">
      <c r="A67" s="23">
        <f>IF($A36="","",$A36)</f>
        <v/>
      </c>
      <c r="B67" s="27" t="n"/>
      <c r="C67" s="27" t="n">
        <v>2</v>
      </c>
      <c r="D67" s="27" t="n"/>
      <c r="E67" s="27" t="n"/>
      <c r="F67" s="27" t="n">
        <v>1</v>
      </c>
      <c r="G67" s="27" t="n"/>
      <c r="H67" s="27" t="n"/>
      <c r="I67" s="27" t="n">
        <v>1</v>
      </c>
      <c r="J67" s="27" t="n"/>
      <c r="K67" s="27" t="n"/>
      <c r="L67" s="27" t="n"/>
      <c r="M67" s="27" t="n"/>
      <c r="N67" s="27" t="n"/>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v>1</v>
      </c>
      <c r="K69" s="27" t="n"/>
      <c r="L69" s="27" t="n"/>
      <c r="M69" s="27" t="n"/>
      <c r="N69" s="27" t="n"/>
      <c r="O69" s="27" t="n"/>
      <c r="P69" s="27" t="n"/>
      <c r="Q69" s="27" t="n"/>
      <c r="R69" s="27" t="n"/>
      <c r="S69" s="27" t="n"/>
      <c r="T69" s="27" t="n"/>
      <c r="U69" s="27" t="n"/>
      <c r="V69" s="24">
        <f>SUMPRODUCT(B69:U69*($B$16:$U$16=""))</f>
        <v/>
      </c>
    </row>
    <row r="70" ht="15.75" customHeight="1" s="38">
      <c r="A70" s="23">
        <f>IF($A39="","",$A39)</f>
        <v/>
      </c>
      <c r="B70" s="27" t="n">
        <v>1</v>
      </c>
      <c r="C70" s="27" t="n"/>
      <c r="D70" s="27" t="n">
        <v>1</v>
      </c>
      <c r="E70" s="27" t="n"/>
      <c r="F70" s="27" t="n">
        <v>1</v>
      </c>
      <c r="G70" s="27" t="n"/>
      <c r="H70" s="27" t="n"/>
      <c r="I70" s="27" t="n"/>
      <c r="J70" s="27" t="n">
        <v>1</v>
      </c>
      <c r="K70" s="27" t="n">
        <v>1</v>
      </c>
      <c r="L70" s="27" t="n">
        <v>1</v>
      </c>
      <c r="M70" s="27" t="n">
        <v>2</v>
      </c>
      <c r="N70" s="27" t="n">
        <v>5</v>
      </c>
      <c r="O70" s="27" t="n">
        <v>2</v>
      </c>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c r="C98" s="27" t="n">
        <v>2</v>
      </c>
      <c r="D98" s="27" t="n"/>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7 · PlayFootball Old Street (5G, 6-a-side) · May–Aug 2026 · imported from the team app</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46163</v>
      </c>
      <c r="C3" s="9" t="n">
        <v>46170</v>
      </c>
      <c r="D3" s="9" t="n">
        <v>46170</v>
      </c>
      <c r="E3" s="9" t="n">
        <v>46177</v>
      </c>
      <c r="F3" s="9" t="n">
        <v>46184</v>
      </c>
      <c r="G3" s="9" t="n">
        <v>46191</v>
      </c>
      <c r="H3" s="9" t="n">
        <v>46200</v>
      </c>
      <c r="I3" s="9" t="n">
        <v>46205</v>
      </c>
      <c r="J3" s="9" t="n">
        <v>46219</v>
      </c>
      <c r="K3" s="9" t="n">
        <v>46227</v>
      </c>
      <c r="L3" s="9" t="n">
        <v>46227</v>
      </c>
      <c r="M3" s="9" t="n">
        <v>46233</v>
      </c>
      <c r="N3" s="9" t="n">
        <v>46240</v>
      </c>
      <c r="O3" s="9" t="n">
        <v>46247</v>
      </c>
      <c r="P3" s="9" t="n">
        <v>46255</v>
      </c>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inlineStr">
        <is>
          <t>Enjoy Your Mane Jane</t>
        </is>
      </c>
      <c r="C5" s="12" t="inlineStr">
        <is>
          <t>Recessionary FC</t>
        </is>
      </c>
      <c r="D5" s="12" t="inlineStr">
        <is>
          <t>Ref's Mates</t>
        </is>
      </c>
      <c r="E5" s="12" t="inlineStr">
        <is>
          <t>XZR FC</t>
        </is>
      </c>
      <c r="F5" s="12" t="inlineStr">
        <is>
          <t>Green of the South</t>
        </is>
      </c>
      <c r="G5" s="12" t="inlineStr">
        <is>
          <t>Vauban FC</t>
        </is>
      </c>
      <c r="H5" s="12" t="inlineStr">
        <is>
          <t>The Britannias</t>
        </is>
      </c>
      <c r="I5" s="12" t="inlineStr">
        <is>
          <t>Old Ivy</t>
        </is>
      </c>
      <c r="J5" s="12" t="inlineStr">
        <is>
          <t>Enjoy Your Mane Jane</t>
        </is>
      </c>
      <c r="K5" s="12" t="inlineStr">
        <is>
          <t>Forfeit</t>
        </is>
      </c>
      <c r="L5" s="12" t="inlineStr">
        <is>
          <t>Vauban FC</t>
        </is>
      </c>
      <c r="M5" s="12" t="inlineStr">
        <is>
          <t>The Britannias</t>
        </is>
      </c>
      <c r="N5" s="12" t="inlineStr">
        <is>
          <t>Green of the South</t>
        </is>
      </c>
      <c r="O5" s="12" t="inlineStr">
        <is>
          <t>Old Ivy</t>
        </is>
      </c>
      <c r="P5" s="12" t="inlineStr">
        <is>
          <t>XZR FC</t>
        </is>
      </c>
      <c r="Q5" s="12" t="n"/>
      <c r="R5" s="12" t="n"/>
      <c r="S5" s="12" t="n"/>
      <c r="T5" s="12" t="n"/>
      <c r="U5" s="12" t="n"/>
      <c r="X5" s="7" t="inlineStr">
        <is>
          <t>Drawn</t>
        </is>
      </c>
      <c r="Y5" s="10">
        <f>SUMPRODUCT(($B$9:$U$9="D")*($B$16:$U$16=""))</f>
        <v/>
      </c>
    </row>
    <row r="6">
      <c r="A6" s="8" t="inlineStr">
        <is>
          <t>Our goals</t>
        </is>
      </c>
      <c r="B6" s="26" t="n">
        <v>3</v>
      </c>
      <c r="C6" s="26" t="n">
        <v>8</v>
      </c>
      <c r="D6" s="26" t="n">
        <v>7</v>
      </c>
      <c r="E6" s="26" t="n">
        <v>4</v>
      </c>
      <c r="F6" s="26" t="n">
        <v>2</v>
      </c>
      <c r="G6" s="26" t="n">
        <v>5</v>
      </c>
      <c r="H6" s="26" t="n">
        <v>1</v>
      </c>
      <c r="I6" s="26" t="n">
        <v>2</v>
      </c>
      <c r="J6" s="26" t="n">
        <v>0</v>
      </c>
      <c r="K6" s="26" t="n">
        <v>8</v>
      </c>
      <c r="L6" s="26" t="n">
        <v>6</v>
      </c>
      <c r="M6" s="26" t="n">
        <v>4</v>
      </c>
      <c r="N6" s="26" t="n">
        <v>3</v>
      </c>
      <c r="O6" s="26" t="n">
        <v>4</v>
      </c>
      <c r="P6" s="26" t="n">
        <v>6</v>
      </c>
      <c r="Q6" s="26" t="n"/>
      <c r="R6" s="26" t="n"/>
      <c r="S6" s="26" t="n"/>
      <c r="T6" s="26" t="n"/>
      <c r="U6" s="26" t="n"/>
      <c r="X6" s="7" t="inlineStr">
        <is>
          <t>Lost</t>
        </is>
      </c>
      <c r="Y6" s="10">
        <f>SUMPRODUCT(($B$9:$U$9="L")*($B$16:$U$16=""))</f>
        <v/>
      </c>
    </row>
    <row r="7">
      <c r="A7" s="8" t="inlineStr">
        <is>
          <t>Their goals</t>
        </is>
      </c>
      <c r="B7" s="26" t="n">
        <v>6</v>
      </c>
      <c r="C7" s="26" t="n">
        <v>0</v>
      </c>
      <c r="D7" s="26" t="n">
        <v>5</v>
      </c>
      <c r="E7" s="26" t="n">
        <v>2</v>
      </c>
      <c r="F7" s="26" t="n">
        <v>11</v>
      </c>
      <c r="G7" s="26" t="n">
        <v>4</v>
      </c>
      <c r="H7" s="26" t="n">
        <v>11</v>
      </c>
      <c r="I7" s="26" t="n">
        <v>6</v>
      </c>
      <c r="J7" s="26" t="n">
        <v>8</v>
      </c>
      <c r="K7" s="26" t="n">
        <v>0</v>
      </c>
      <c r="L7" s="26" t="n">
        <v>10</v>
      </c>
      <c r="M7" s="26" t="n">
        <v>6</v>
      </c>
      <c r="N7" s="26" t="n">
        <v>9</v>
      </c>
      <c r="O7" s="26" t="n">
        <v>8</v>
      </c>
      <c r="P7" s="26" t="n">
        <v>1</v>
      </c>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inlineStr">
        <is>
          <t>Forfeit</t>
        </is>
      </c>
      <c r="D12" s="17" t="inlineStr">
        <is>
          <t>Friendly</t>
        </is>
      </c>
      <c r="E12" s="17" t="n"/>
      <c r="F12" s="17" t="n"/>
      <c r="G12" s="17" t="n"/>
      <c r="H12" s="17" t="n"/>
      <c r="I12" s="17" t="n"/>
      <c r="J12" s="17" t="inlineStr">
        <is>
          <t>Forfeit</t>
        </is>
      </c>
      <c r="K12" s="17" t="inlineStr">
        <is>
          <t>Forfeit</t>
        </is>
      </c>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inlineStr">
        <is>
          <t>Forfeit</t>
        </is>
      </c>
      <c r="D16" s="26" t="inlineStr">
        <is>
          <t>Friendly</t>
        </is>
      </c>
      <c r="E16" s="26" t="n"/>
      <c r="F16" s="26" t="n"/>
      <c r="G16" s="26" t="n"/>
      <c r="H16" s="26" t="n"/>
      <c r="I16" s="26" t="n"/>
      <c r="J16" s="26" t="inlineStr">
        <is>
          <t>Forfeit</t>
        </is>
      </c>
      <c r="K16" s="26" t="inlineStr">
        <is>
          <t>Forfeit</t>
        </is>
      </c>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v>1</v>
      </c>
      <c r="I18" s="27" t="n"/>
      <c r="J18" s="27" t="n"/>
      <c r="K18" s="27" t="n"/>
      <c r="L18" s="27" t="n"/>
      <c r="M18" s="27" t="n">
        <v>1</v>
      </c>
      <c r="N18" s="27" t="n"/>
      <c r="O18" s="27" t="n">
        <v>1</v>
      </c>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v>1</v>
      </c>
      <c r="C21" s="27" t="n"/>
      <c r="D21" s="27" t="n">
        <v>1</v>
      </c>
      <c r="E21" s="27" t="n"/>
      <c r="F21" s="27" t="n"/>
      <c r="G21" s="27" t="n">
        <v>1</v>
      </c>
      <c r="H21" s="27" t="n">
        <v>1</v>
      </c>
      <c r="I21" s="27" t="n">
        <v>1</v>
      </c>
      <c r="J21" s="27" t="n"/>
      <c r="K21" s="27" t="n"/>
      <c r="L21" s="27" t="n">
        <v>1</v>
      </c>
      <c r="M21" s="27" t="n"/>
      <c r="N21" s="27" t="n"/>
      <c r="O21" s="27" t="n">
        <v>1</v>
      </c>
      <c r="P21" s="27" t="n"/>
      <c r="Q21" s="27" t="n"/>
      <c r="R21" s="27" t="n"/>
      <c r="S21" s="27" t="n"/>
      <c r="T21" s="27" t="n"/>
      <c r="U21" s="27" t="n"/>
      <c r="V21" s="24">
        <f>SUMPRODUCT(B21:U21*($B$16:$U$16=""))</f>
        <v/>
      </c>
      <c r="W21" s="20">
        <f>SUMPRODUCT($B21:$U21,$B$15:$U$15)</f>
        <v/>
      </c>
    </row>
    <row r="22" ht="15.75" customHeight="1" s="38">
      <c r="A22" s="23" t="inlineStr">
        <is>
          <t>Callum McCarthy</t>
        </is>
      </c>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v>1</v>
      </c>
      <c r="C24" s="27" t="n"/>
      <c r="D24" s="27" t="n">
        <v>1</v>
      </c>
      <c r="E24" s="27" t="n">
        <v>1</v>
      </c>
      <c r="F24" s="27" t="n">
        <v>1</v>
      </c>
      <c r="G24" s="27" t="n">
        <v>1</v>
      </c>
      <c r="H24" s="27" t="n">
        <v>1</v>
      </c>
      <c r="I24" s="27" t="n">
        <v>1</v>
      </c>
      <c r="J24" s="27" t="n"/>
      <c r="K24" s="27" t="n"/>
      <c r="L24" s="27" t="n">
        <v>1</v>
      </c>
      <c r="M24" s="27" t="n"/>
      <c r="N24" s="27" t="n"/>
      <c r="O24" s="27" t="n"/>
      <c r="P24" s="27" t="n">
        <v>1</v>
      </c>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v>1</v>
      </c>
      <c r="P25" s="27" t="n"/>
      <c r="Q25" s="27" t="n"/>
      <c r="R25" s="27" t="n"/>
      <c r="S25" s="27" t="n"/>
      <c r="T25" s="27" t="n"/>
      <c r="U25" s="27" t="n"/>
      <c r="V25" s="24">
        <f>SUMPRODUCT(B25:U25*($B$16:$U$16=""))</f>
        <v/>
      </c>
      <c r="W25" s="20">
        <f>SUMPRODUCT($B25:$U25,$B$15:$U$15)</f>
        <v/>
      </c>
    </row>
    <row r="26" ht="15.75" customHeight="1" s="38">
      <c r="A26" s="23" t="inlineStr">
        <is>
          <t>Finn Cawley</t>
        </is>
      </c>
      <c r="B26" s="27" t="n"/>
      <c r="C26" s="27" t="n"/>
      <c r="D26" s="27" t="n">
        <v>1</v>
      </c>
      <c r="E26" s="27" t="n"/>
      <c r="F26" s="27" t="n"/>
      <c r="G26" s="27" t="n">
        <v>1</v>
      </c>
      <c r="H26" s="27" t="n"/>
      <c r="I26" s="27" t="n"/>
      <c r="J26" s="27" t="n"/>
      <c r="K26" s="27" t="n"/>
      <c r="L26" s="27" t="n">
        <v>1</v>
      </c>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c r="C27" s="27" t="n"/>
      <c r="D27" s="27" t="n"/>
      <c r="E27" s="27" t="n"/>
      <c r="F27" s="27" t="n"/>
      <c r="G27" s="27" t="n"/>
      <c r="H27" s="27" t="n"/>
      <c r="I27" s="27" t="n"/>
      <c r="J27" s="27" t="n"/>
      <c r="K27" s="27" t="n"/>
      <c r="L27" s="27" t="n">
        <v>1</v>
      </c>
      <c r="M27" s="27" t="n">
        <v>1</v>
      </c>
      <c r="N27" s="27" t="n"/>
      <c r="O27" s="27" t="n">
        <v>1</v>
      </c>
      <c r="P27" s="27" t="n"/>
      <c r="Q27" s="27" t="n"/>
      <c r="R27" s="27" t="n"/>
      <c r="S27" s="27" t="n"/>
      <c r="T27" s="27" t="n"/>
      <c r="U27" s="27" t="n"/>
      <c r="V27" s="24">
        <f>SUMPRODUCT(B27:U27*($B$16:$U$16=""))</f>
        <v/>
      </c>
      <c r="W27" s="20">
        <f>SUMPRODUCT($B27:$U27,$B$15:$U$15)</f>
        <v/>
      </c>
    </row>
    <row r="28" ht="15.75" customHeight="1" s="38">
      <c r="A28" s="23" t="inlineStr">
        <is>
          <t>Henry Linklater</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v>1</v>
      </c>
      <c r="C29" s="27" t="n"/>
      <c r="D29" s="27" t="n">
        <v>1</v>
      </c>
      <c r="E29" s="27" t="n"/>
      <c r="F29" s="27" t="n"/>
      <c r="G29" s="27" t="n"/>
      <c r="H29" s="27" t="n"/>
      <c r="I29" s="27" t="n">
        <v>1</v>
      </c>
      <c r="J29" s="27" t="n"/>
      <c r="K29" s="27" t="n"/>
      <c r="L29" s="27" t="n"/>
      <c r="M29" s="27" t="n"/>
      <c r="N29" s="27" t="n">
        <v>1</v>
      </c>
      <c r="O29" s="27" t="n">
        <v>1</v>
      </c>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v>1</v>
      </c>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v>1</v>
      </c>
      <c r="F32" s="27" t="n">
        <v>1</v>
      </c>
      <c r="G32" s="27" t="n"/>
      <c r="H32" s="27" t="n"/>
      <c r="I32" s="27" t="n">
        <v>1</v>
      </c>
      <c r="J32" s="27" t="n"/>
      <c r="K32" s="27" t="n"/>
      <c r="L32" s="27" t="n">
        <v>1</v>
      </c>
      <c r="M32" s="27" t="n">
        <v>1</v>
      </c>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v>1</v>
      </c>
      <c r="C33" s="27" t="n"/>
      <c r="D33" s="27" t="n"/>
      <c r="E33" s="27" t="n">
        <v>1</v>
      </c>
      <c r="F33" s="27" t="n">
        <v>1</v>
      </c>
      <c r="G33" s="27" t="n">
        <v>1</v>
      </c>
      <c r="H33" s="27" t="n">
        <v>1</v>
      </c>
      <c r="I33" s="27" t="n">
        <v>1</v>
      </c>
      <c r="J33" s="27" t="n"/>
      <c r="K33" s="27" t="n"/>
      <c r="L33" s="27" t="n">
        <v>1</v>
      </c>
      <c r="M33" s="27" t="n">
        <v>1</v>
      </c>
      <c r="N33" s="27" t="n">
        <v>1</v>
      </c>
      <c r="O33" s="27" t="n">
        <v>1</v>
      </c>
      <c r="P33" s="27" t="n">
        <v>1</v>
      </c>
      <c r="Q33" s="27" t="n"/>
      <c r="R33" s="27" t="n"/>
      <c r="S33" s="27" t="n"/>
      <c r="T33" s="27" t="n"/>
      <c r="U33" s="27" t="n"/>
      <c r="V33" s="24">
        <f>SUMPRODUCT(B33:U33*($B$16:$U$16=""))</f>
        <v/>
      </c>
      <c r="W33" s="20">
        <f>SUMPRODUCT($B33:$U33,$B$15:$U$15)</f>
        <v/>
      </c>
    </row>
    <row r="34" ht="15.75" customHeight="1" s="38">
      <c r="A34" s="23" t="inlineStr">
        <is>
          <t>Max Cobain</t>
        </is>
      </c>
      <c r="B34" s="27" t="n">
        <v>1</v>
      </c>
      <c r="C34" s="27" t="n"/>
      <c r="D34" s="27" t="n">
        <v>1</v>
      </c>
      <c r="E34" s="27" t="n">
        <v>1</v>
      </c>
      <c r="F34" s="27" t="n">
        <v>1</v>
      </c>
      <c r="G34" s="27" t="n"/>
      <c r="H34" s="27" t="n"/>
      <c r="I34" s="27" t="n"/>
      <c r="J34" s="27" t="n"/>
      <c r="K34" s="27" t="n"/>
      <c r="L34" s="27" t="n"/>
      <c r="M34" s="27" t="n"/>
      <c r="N34" s="27" t="n"/>
      <c r="O34" s="27" t="n"/>
      <c r="P34" s="27" t="n"/>
      <c r="Q34" s="27" t="n"/>
      <c r="R34" s="27" t="n"/>
      <c r="S34" s="27" t="n"/>
      <c r="T34" s="27" t="n"/>
      <c r="U34" s="27" t="n"/>
      <c r="V34" s="24">
        <f>SUMPRODUCT(B34:U34*($B$16:$U$16=""))</f>
        <v/>
      </c>
      <c r="W34" s="20">
        <f>SUMPRODUCT($B34:$U34,$B$15:$U$15)</f>
        <v/>
      </c>
    </row>
    <row r="35" ht="15.75" customHeight="1" s="38">
      <c r="A35" s="23" t="inlineStr">
        <is>
          <t>Neeraj Radia</t>
        </is>
      </c>
      <c r="B35" s="27" t="n">
        <v>1</v>
      </c>
      <c r="C35" s="27" t="n"/>
      <c r="D35" s="27" t="n">
        <v>1</v>
      </c>
      <c r="E35" s="27" t="n"/>
      <c r="F35" s="27" t="n">
        <v>1</v>
      </c>
      <c r="G35" s="27" t="n">
        <v>1</v>
      </c>
      <c r="H35" s="27" t="n"/>
      <c r="I35" s="27" t="n"/>
      <c r="J35" s="27" t="n"/>
      <c r="K35" s="27" t="n"/>
      <c r="L35" s="27" t="n"/>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v>1</v>
      </c>
      <c r="C36" s="27" t="n"/>
      <c r="D36" s="27" t="n"/>
      <c r="E36" s="27" t="n">
        <v>1</v>
      </c>
      <c r="F36" s="27" t="n"/>
      <c r="G36" s="27" t="n">
        <v>1</v>
      </c>
      <c r="H36" s="27" t="n">
        <v>1</v>
      </c>
      <c r="I36" s="27" t="n">
        <v>1</v>
      </c>
      <c r="J36" s="27" t="n"/>
      <c r="K36" s="27" t="n"/>
      <c r="L36" s="27" t="n"/>
      <c r="M36" s="27" t="n">
        <v>1</v>
      </c>
      <c r="N36" s="27" t="n">
        <v>1</v>
      </c>
      <c r="O36" s="27" t="n">
        <v>1</v>
      </c>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c r="C39" s="27" t="n"/>
      <c r="D39" s="27" t="n">
        <v>1</v>
      </c>
      <c r="E39" s="27" t="n">
        <v>1</v>
      </c>
      <c r="F39" s="27" t="n">
        <v>1</v>
      </c>
      <c r="G39" s="27" t="n">
        <v>1</v>
      </c>
      <c r="H39" s="27" t="n"/>
      <c r="I39" s="27" t="n">
        <v>1</v>
      </c>
      <c r="J39" s="27" t="n"/>
      <c r="K39" s="27" t="n"/>
      <c r="L39" s="27" t="n"/>
      <c r="M39" s="27" t="n"/>
      <c r="N39" s="27" t="n"/>
      <c r="O39" s="27" t="n"/>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v>1</v>
      </c>
      <c r="I49" s="27" t="n"/>
      <c r="J49" s="27" t="n"/>
      <c r="K49" s="27" t="n"/>
      <c r="L49" s="27" t="n"/>
      <c r="M49" s="27" t="n">
        <v>3</v>
      </c>
      <c r="N49" s="27" t="n"/>
      <c r="O49" s="27" t="n">
        <v>1</v>
      </c>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v>1</v>
      </c>
      <c r="H52" s="27" t="n"/>
      <c r="I52" s="27" t="n"/>
      <c r="J52" s="27" t="n"/>
      <c r="K52" s="27" t="n"/>
      <c r="L52" s="27" t="n"/>
      <c r="M52" s="27" t="n"/>
      <c r="N52" s="27" t="n"/>
      <c r="O52" s="27" t="n">
        <v>1</v>
      </c>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v>1</v>
      </c>
      <c r="C55" s="27" t="n"/>
      <c r="D55" s="27" t="n"/>
      <c r="E55" s="27" t="n"/>
      <c r="F55" s="27" t="n"/>
      <c r="G55" s="27" t="n"/>
      <c r="H55" s="27" t="n"/>
      <c r="I55" s="27" t="n">
        <v>1</v>
      </c>
      <c r="J55" s="27" t="n"/>
      <c r="K55" s="27" t="n"/>
      <c r="L55" s="27" t="n"/>
      <c r="M55" s="27" t="n"/>
      <c r="N55" s="27" t="n"/>
      <c r="O55" s="27" t="n"/>
      <c r="P55" s="27" t="n">
        <v>1</v>
      </c>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v>1</v>
      </c>
      <c r="P56" s="27" t="n"/>
      <c r="Q56" s="27" t="n"/>
      <c r="R56" s="27" t="n"/>
      <c r="S56" s="27" t="n"/>
      <c r="T56" s="27" t="n"/>
      <c r="U56" s="27" t="n"/>
      <c r="V56" s="24">
        <f>SUMPRODUCT(B56:U56*($B$16:$U$16=""))</f>
        <v/>
      </c>
    </row>
    <row r="57" ht="15.75" customHeight="1" s="38">
      <c r="A57" s="23">
        <f>IF($A26="","",$A26)</f>
        <v/>
      </c>
      <c r="B57" s="27" t="n"/>
      <c r="C57" s="27" t="n"/>
      <c r="D57" s="27" t="n">
        <v>1</v>
      </c>
      <c r="E57" s="27" t="n"/>
      <c r="F57" s="27" t="n"/>
      <c r="G57" s="27" t="n">
        <v>2</v>
      </c>
      <c r="H57" s="27" t="n"/>
      <c r="I57" s="27" t="n"/>
      <c r="J57" s="27" t="n"/>
      <c r="K57" s="27" t="n"/>
      <c r="L57" s="27" t="n">
        <v>2</v>
      </c>
      <c r="M57" s="27" t="n"/>
      <c r="N57" s="27" t="n"/>
      <c r="O57" s="27" t="n"/>
      <c r="P57" s="27" t="n"/>
      <c r="Q57" s="27" t="n"/>
      <c r="R57" s="27" t="n"/>
      <c r="S57" s="27" t="n"/>
      <c r="T57" s="27" t="n"/>
      <c r="U57" s="27" t="n"/>
      <c r="V57" s="24">
        <f>SUMPRODUCT(B57:U57*($B$16:$U$16=""))</f>
        <v/>
      </c>
    </row>
    <row r="58" ht="15.75" customHeight="1" s="38">
      <c r="A58" s="23">
        <f>IF($A27="","",$A27)</f>
        <v/>
      </c>
      <c r="B58" s="27" t="n"/>
      <c r="C58" s="27" t="n"/>
      <c r="D58" s="27" t="n"/>
      <c r="E58" s="27" t="n"/>
      <c r="F58" s="27" t="n"/>
      <c r="G58" s="27" t="n"/>
      <c r="H58" s="27" t="n"/>
      <c r="I58" s="27" t="n"/>
      <c r="J58" s="27" t="n"/>
      <c r="K58" s="27" t="n"/>
      <c r="L58" s="27" t="n">
        <v>1</v>
      </c>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v>1</v>
      </c>
      <c r="C60" s="27" t="n"/>
      <c r="D60" s="27" t="n"/>
      <c r="E60" s="27" t="n"/>
      <c r="F60" s="27" t="n"/>
      <c r="G60" s="27" t="n"/>
      <c r="H60" s="27" t="n"/>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v>1</v>
      </c>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v>1</v>
      </c>
      <c r="Q64" s="27" t="n"/>
      <c r="R64" s="27" t="n"/>
      <c r="S64" s="27" t="n"/>
      <c r="T64" s="27" t="n"/>
      <c r="U64" s="27" t="n"/>
      <c r="V64" s="24">
        <f>SUMPRODUCT(B64:U64*($B$16:$U$16=""))</f>
        <v/>
      </c>
    </row>
    <row r="65" ht="15.75" customHeight="1" s="38">
      <c r="A65" s="23">
        <f>IF($A34="","",$A34)</f>
        <v/>
      </c>
      <c r="B65" s="27" t="n"/>
      <c r="C65" s="27" t="n"/>
      <c r="D65" s="27" t="n">
        <v>2</v>
      </c>
      <c r="E65" s="27" t="n"/>
      <c r="F65" s="27" t="n">
        <v>1</v>
      </c>
      <c r="G65" s="27" t="n"/>
      <c r="H65" s="27" t="n"/>
      <c r="I65" s="27" t="n"/>
      <c r="J65" s="27" t="n"/>
      <c r="K65" s="27" t="n"/>
      <c r="L65" s="27" t="n"/>
      <c r="M65" s="27" t="n"/>
      <c r="N65" s="27" t="n"/>
      <c r="O65" s="27" t="n"/>
      <c r="P65" s="27" t="n"/>
      <c r="Q65" s="27" t="n"/>
      <c r="R65" s="27" t="n"/>
      <c r="S65" s="27" t="n"/>
      <c r="T65" s="27" t="n"/>
      <c r="U65" s="27" t="n"/>
      <c r="V65" s="24">
        <f>SUMPRODUCT(B65:U65*($B$16:$U$16=""))</f>
        <v/>
      </c>
    </row>
    <row r="66" ht="15.75" customHeight="1" s="38">
      <c r="A66" s="23">
        <f>IF($A35="","",$A35)</f>
        <v/>
      </c>
      <c r="B66" s="27" t="n">
        <v>1</v>
      </c>
      <c r="C66" s="27" t="n"/>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c r="C67" s="27" t="n"/>
      <c r="D67" s="27" t="n"/>
      <c r="E67" s="27" t="n">
        <v>2</v>
      </c>
      <c r="F67" s="27" t="n"/>
      <c r="G67" s="27" t="n"/>
      <c r="H67" s="27" t="n"/>
      <c r="I67" s="27" t="n"/>
      <c r="J67" s="27" t="n"/>
      <c r="K67" s="27" t="n"/>
      <c r="L67" s="27" t="n"/>
      <c r="M67" s="27" t="n"/>
      <c r="N67" s="27" t="n"/>
      <c r="O67" s="27" t="n">
        <v>1</v>
      </c>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c r="C70" s="27" t="n"/>
      <c r="D70" s="27" t="n">
        <v>4</v>
      </c>
      <c r="E70" s="27" t="n">
        <v>2</v>
      </c>
      <c r="F70" s="27" t="n">
        <v>1</v>
      </c>
      <c r="G70" s="27" t="n">
        <v>2</v>
      </c>
      <c r="H70" s="27" t="n"/>
      <c r="I70" s="27" t="n"/>
      <c r="J70" s="27" t="n"/>
      <c r="K70" s="27" t="n"/>
      <c r="L70" s="27" t="n"/>
      <c r="M70" s="27" t="n"/>
      <c r="N70" s="27" t="n"/>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8 · Whitechapel Tuesday 6’s — Premier League · Sep 2026–Jan 2027</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v>46266</v>
      </c>
      <c r="C3" s="9" t="n">
        <v>46273</v>
      </c>
      <c r="D3" s="9" t="n">
        <v>46280</v>
      </c>
      <c r="E3" s="9" t="n">
        <v>46287</v>
      </c>
      <c r="F3" s="9" t="n">
        <v>46294</v>
      </c>
      <c r="G3" s="9" t="n">
        <v>46301</v>
      </c>
      <c r="H3" s="9" t="n">
        <v>46308</v>
      </c>
      <c r="I3" s="9" t="n">
        <v>46315</v>
      </c>
      <c r="J3" s="9" t="n">
        <v>46322</v>
      </c>
      <c r="K3" s="9" t="n">
        <v>46329</v>
      </c>
      <c r="L3" s="9" t="n">
        <v>46336</v>
      </c>
      <c r="M3" s="9" t="n">
        <v>46343</v>
      </c>
      <c r="N3" s="9" t="n">
        <v>46350</v>
      </c>
      <c r="O3" s="9" t="n">
        <v>46357</v>
      </c>
      <c r="P3" s="9" t="n">
        <v>46364</v>
      </c>
      <c r="Q3" s="9" t="n">
        <v>46371</v>
      </c>
      <c r="R3" s="9" t="n">
        <v>46392</v>
      </c>
      <c r="S3" s="9" t="n">
        <v>46399</v>
      </c>
      <c r="T3" s="9" t="n"/>
      <c r="U3" s="9" t="n"/>
      <c r="X3" s="7" t="inlineStr">
        <is>
          <t>Played</t>
        </is>
      </c>
      <c r="Y3" s="10">
        <f>Y4+Y5+Y6</f>
        <v/>
      </c>
    </row>
    <row r="4">
      <c r="A4" s="8" t="inlineStr">
        <is>
          <t>Kick-off</t>
        </is>
      </c>
      <c r="B4" s="11" t="n">
        <v>0.8159722222222222</v>
      </c>
      <c r="C4" s="11" t="n">
        <v>0.84375</v>
      </c>
      <c r="D4" s="11" t="n">
        <v>0.7604166666666666</v>
      </c>
      <c r="E4" s="11" t="n">
        <v>0.8715277777777778</v>
      </c>
      <c r="F4" s="11" t="n">
        <v>0.7604166666666666</v>
      </c>
      <c r="G4" s="11" t="n">
        <v>0.7604166666666666</v>
      </c>
      <c r="H4" s="11" t="n">
        <v>0.8715277777777778</v>
      </c>
      <c r="I4" s="11" t="n">
        <v>0.8715277777777778</v>
      </c>
      <c r="J4" s="11" t="n">
        <v>0.7881944444444444</v>
      </c>
      <c r="K4" s="11" t="n">
        <v>0.8159722222222222</v>
      </c>
      <c r="L4" s="11" t="n">
        <v>0.7604166666666666</v>
      </c>
      <c r="M4" s="11" t="n">
        <v>0.84375</v>
      </c>
      <c r="N4" s="11" t="n">
        <v>0.84375</v>
      </c>
      <c r="O4" s="11" t="n">
        <v>0.84375</v>
      </c>
      <c r="P4" s="11" t="n">
        <v>0.7881944444444444</v>
      </c>
      <c r="Q4" s="11" t="n">
        <v>0.8715277777777778</v>
      </c>
      <c r="R4" s="11" t="n">
        <v>0.7604166666666666</v>
      </c>
      <c r="S4" s="11" t="n">
        <v>0.7604166666666666</v>
      </c>
      <c r="T4" s="11" t="n"/>
      <c r="U4" s="11" t="n"/>
      <c r="X4" s="7" t="inlineStr">
        <is>
          <t>Won</t>
        </is>
      </c>
      <c r="Y4" s="10">
        <f>SUMPRODUCT(($B$9:$U$9="W")*($B$16:$U$16=""))</f>
        <v/>
      </c>
    </row>
    <row r="5" ht="27.75" customHeight="1" s="38">
      <c r="A5" s="8" t="inlineStr">
        <is>
          <t>Opponent</t>
        </is>
      </c>
      <c r="B5" s="12" t="inlineStr">
        <is>
          <t>Spartak High Press, Low Standards</t>
        </is>
      </c>
      <c r="C5" s="12" t="inlineStr">
        <is>
          <t>Inter Islington</t>
        </is>
      </c>
      <c r="D5" s="12" t="inlineStr">
        <is>
          <t>TMHLR F.C.</t>
        </is>
      </c>
      <c r="E5" s="12" t="inlineStr">
        <is>
          <t>Heavy MWEtal Football</t>
        </is>
      </c>
      <c r="F5" s="12" t="inlineStr">
        <is>
          <t>Thundering Trunks</t>
        </is>
      </c>
      <c r="G5" s="12" t="inlineStr">
        <is>
          <t>Corsicans FC</t>
        </is>
      </c>
      <c r="H5" s="12" t="inlineStr">
        <is>
          <t>Monaco Goalkickers</t>
        </is>
      </c>
      <c r="I5" s="12" t="inlineStr">
        <is>
          <t>ABHUS FC</t>
        </is>
      </c>
      <c r="J5" s="12" t="inlineStr">
        <is>
          <t>MATHOL FC</t>
        </is>
      </c>
      <c r="K5" s="12" t="inlineStr">
        <is>
          <t>Spartak High Press, Low Standards</t>
        </is>
      </c>
      <c r="L5" s="12" t="inlineStr">
        <is>
          <t>Inter Islington</t>
        </is>
      </c>
      <c r="M5" s="12" t="inlineStr">
        <is>
          <t>TMHLR F.C.</t>
        </is>
      </c>
      <c r="N5" s="12" t="inlineStr">
        <is>
          <t>Heavy MWEtal Football</t>
        </is>
      </c>
      <c r="O5" s="12" t="inlineStr">
        <is>
          <t>Thundering Trunks</t>
        </is>
      </c>
      <c r="P5" s="12" t="inlineStr">
        <is>
          <t>Corsicans FC</t>
        </is>
      </c>
      <c r="Q5" s="12" t="inlineStr">
        <is>
          <t>Monaco Goalkickers</t>
        </is>
      </c>
      <c r="R5" s="12" t="inlineStr">
        <is>
          <t>ABHUS FC</t>
        </is>
      </c>
      <c r="S5" s="12" t="inlineStr">
        <is>
          <t>MATHOL FC</t>
        </is>
      </c>
      <c r="T5" s="12" t="n"/>
      <c r="U5" s="12" t="n"/>
      <c r="X5" s="7" t="inlineStr">
        <is>
          <t>Drawn</t>
        </is>
      </c>
      <c r="Y5" s="10">
        <f>SUMPRODUCT(($B$9:$U$9="D")*($B$16:$U$16=""))</f>
        <v/>
      </c>
    </row>
    <row r="6">
      <c r="A6" s="8" t="inlineStr">
        <is>
          <t>Our goals</t>
        </is>
      </c>
      <c r="B6" s="26" t="n">
        <v>5</v>
      </c>
      <c r="C6" s="26" t="n"/>
      <c r="D6" s="26" t="n"/>
      <c r="E6" s="26" t="n"/>
      <c r="F6" s="26" t="n"/>
      <c r="G6" s="26" t="n"/>
      <c r="H6" s="26" t="n"/>
      <c r="I6" s="26" t="n"/>
      <c r="J6" s="26" t="n"/>
      <c r="K6" s="26" t="n"/>
      <c r="L6" s="26" t="n"/>
      <c r="M6" s="26" t="n"/>
      <c r="N6" s="26" t="n"/>
      <c r="O6" s="26" t="n"/>
      <c r="P6" s="26" t="n"/>
      <c r="Q6" s="26" t="n"/>
      <c r="R6" s="26" t="n"/>
      <c r="S6" s="26" t="n"/>
      <c r="T6" s="26" t="n"/>
      <c r="U6" s="26" t="n"/>
      <c r="X6" s="7" t="inlineStr">
        <is>
          <t>Lost</t>
        </is>
      </c>
      <c r="Y6" s="10">
        <f>SUMPRODUCT(($B$9:$U$9="L")*($B$16:$U$16=""))</f>
        <v/>
      </c>
    </row>
    <row r="7">
      <c r="A7" s="8" t="inlineStr">
        <is>
          <t>Their goals</t>
        </is>
      </c>
      <c r="B7" s="26" t="n">
        <v>7</v>
      </c>
      <c r="C7" s="26" t="n"/>
      <c r="D7" s="26" t="n"/>
      <c r="E7" s="26" t="n"/>
      <c r="F7" s="26" t="n"/>
      <c r="G7" s="26" t="n"/>
      <c r="H7" s="26" t="n"/>
      <c r="I7" s="26" t="n"/>
      <c r="J7" s="26" t="n"/>
      <c r="K7" s="26" t="n"/>
      <c r="L7" s="26" t="n"/>
      <c r="M7" s="26" t="n"/>
      <c r="N7" s="26" t="n"/>
      <c r="O7" s="26" t="n"/>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X12" s="7" t="inlineStr">
        <is>
          <t>Paid by</t>
        </is>
      </c>
      <c r="Y12" s="18" t="inlineStr">
        <is>
          <t>Isaac Mond</t>
        </is>
      </c>
    </row>
    <row r="13">
      <c r="A13" s="8" t="inlineStr">
        <is>
          <t>Match cost (£)</t>
        </is>
      </c>
      <c r="B13" s="19" t="n">
        <v>79.95</v>
      </c>
      <c r="C13" s="19" t="n">
        <v>79.95</v>
      </c>
      <c r="D13" s="19" t="n">
        <v>79.95</v>
      </c>
      <c r="E13" s="19" t="n">
        <v>79.95</v>
      </c>
      <c r="F13" s="19" t="n">
        <v>79.95</v>
      </c>
      <c r="G13" s="19" t="n">
        <v>79.95</v>
      </c>
      <c r="H13" s="19" t="n">
        <v>79.95</v>
      </c>
      <c r="I13" s="19" t="n">
        <v>79.95</v>
      </c>
      <c r="J13" s="19" t="n">
        <v>79.95</v>
      </c>
      <c r="K13" s="19" t="n">
        <v>79.95</v>
      </c>
      <c r="L13" s="19" t="n">
        <v>79.95</v>
      </c>
      <c r="M13" s="19" t="n">
        <v>79.95</v>
      </c>
      <c r="N13" s="19" t="n">
        <v>79.95</v>
      </c>
      <c r="O13" s="19" t="n">
        <v>79.95</v>
      </c>
      <c r="P13" s="19" t="n">
        <v>79.95</v>
      </c>
      <c r="Q13" s="19" t="n">
        <v>79.95</v>
      </c>
      <c r="R13" s="19" t="n">
        <v>79.95</v>
      </c>
      <c r="S13" s="19" t="n">
        <v>79.95</v>
      </c>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v>1</v>
      </c>
      <c r="C21" s="27" t="n"/>
      <c r="D21" s="27" t="n"/>
      <c r="E21" s="27" t="n"/>
      <c r="F21" s="27" t="n"/>
      <c r="G21" s="27" t="n"/>
      <c r="H21" s="27" t="n"/>
      <c r="I21" s="27" t="n"/>
      <c r="J21" s="27" t="n"/>
      <c r="K21" s="27" t="n"/>
      <c r="L21" s="27" t="n"/>
      <c r="M21" s="27" t="n"/>
      <c r="N21" s="27" t="n"/>
      <c r="O21" s="27" t="n"/>
      <c r="P21" s="27" t="n"/>
      <c r="Q21" s="27" t="n"/>
      <c r="R21" s="27" t="n"/>
      <c r="S21" s="27" t="n"/>
      <c r="T21" s="27" t="n"/>
      <c r="U21" s="27" t="n"/>
      <c r="V21" s="24">
        <f>SUMPRODUCT(B21:U21*($B$16:$U$16=""))</f>
        <v/>
      </c>
      <c r="W21" s="20">
        <f>SUMPRODUCT($B21:$U21,$B$15:$U$15)</f>
        <v/>
      </c>
    </row>
    <row r="22" ht="15.75" customHeight="1" s="38">
      <c r="A22" s="23" t="inlineStr">
        <is>
          <t>Callum McCarthy</t>
        </is>
      </c>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v>1</v>
      </c>
      <c r="C26" s="27" t="n"/>
      <c r="D26" s="27" t="n"/>
      <c r="E26" s="27" t="n"/>
      <c r="F26" s="27" t="n"/>
      <c r="G26" s="27" t="n"/>
      <c r="H26" s="27" t="n"/>
      <c r="I26" s="27" t="n"/>
      <c r="J26" s="27" t="n"/>
      <c r="K26" s="27" t="n"/>
      <c r="L26" s="27" t="n"/>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4">
        <f>SUMPRODUCT(B27:U27*($B$16:$U$16=""))</f>
        <v/>
      </c>
      <c r="W27" s="20">
        <f>SUMPRODUCT($B27:$U27,$B$15:$U$15)</f>
        <v/>
      </c>
    </row>
    <row r="28" ht="15.75" customHeight="1" s="38">
      <c r="A28" s="23" t="inlineStr">
        <is>
          <t>Henry Linklater</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v>1</v>
      </c>
      <c r="C29" s="27" t="n"/>
      <c r="D29" s="27" t="n"/>
      <c r="E29" s="27" t="n"/>
      <c r="F29" s="27" t="n"/>
      <c r="G29" s="27" t="n"/>
      <c r="H29" s="27" t="n"/>
      <c r="I29" s="27" t="n"/>
      <c r="J29" s="27" t="n"/>
      <c r="K29" s="27" t="n"/>
      <c r="L29" s="27" t="n"/>
      <c r="M29" s="27" t="n"/>
      <c r="N29" s="27" t="n"/>
      <c r="O29" s="27" t="n"/>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v>1</v>
      </c>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v>1</v>
      </c>
      <c r="C34" s="27" t="n"/>
      <c r="D34" s="27" t="n"/>
      <c r="E34" s="27" t="n"/>
      <c r="F34" s="27" t="n"/>
      <c r="G34" s="27" t="n"/>
      <c r="H34" s="27" t="n"/>
      <c r="I34" s="27" t="n"/>
      <c r="J34" s="27" t="n"/>
      <c r="K34" s="27" t="n"/>
      <c r="L34" s="27" t="n"/>
      <c r="M34" s="27" t="n"/>
      <c r="N34" s="27" t="n"/>
      <c r="O34" s="27" t="n"/>
      <c r="P34" s="27" t="n"/>
      <c r="Q34" s="27" t="n"/>
      <c r="R34" s="27" t="n"/>
      <c r="S34" s="27" t="n"/>
      <c r="T34" s="27" t="n"/>
      <c r="U34" s="27" t="n"/>
      <c r="V34" s="24">
        <f>SUMPRODUCT(B34:U34*($B$16:$U$16=""))</f>
        <v/>
      </c>
      <c r="W34" s="20">
        <f>SUMPRODUCT($B34:$U34,$B$15:$U$15)</f>
        <v/>
      </c>
    </row>
    <row r="35" ht="15.75" customHeight="1" s="38">
      <c r="A35" s="23" t="inlineStr">
        <is>
          <t>Neeraj Radia</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v>1</v>
      </c>
      <c r="C36" s="27" t="n"/>
      <c r="D36" s="27" t="n"/>
      <c r="E36" s="27" t="n"/>
      <c r="F36" s="27" t="n"/>
      <c r="G36" s="27" t="n"/>
      <c r="H36" s="27" t="n"/>
      <c r="I36" s="27" t="n"/>
      <c r="J36" s="27" t="n"/>
      <c r="K36" s="27" t="n"/>
      <c r="L36" s="27" t="n"/>
      <c r="M36" s="27" t="n"/>
      <c r="N36" s="27" t="n"/>
      <c r="O36" s="27" t="n"/>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v>1</v>
      </c>
      <c r="C39" s="27" t="n"/>
      <c r="D39" s="27" t="n"/>
      <c r="E39" s="27" t="n"/>
      <c r="F39" s="27" t="n"/>
      <c r="G39" s="27" t="n"/>
      <c r="H39" s="27" t="n"/>
      <c r="I39" s="27" t="n"/>
      <c r="J39" s="27" t="n"/>
      <c r="K39" s="27" t="n"/>
      <c r="L39" s="27" t="n"/>
      <c r="M39" s="27" t="n"/>
      <c r="N39" s="27" t="n"/>
      <c r="O39" s="27" t="n"/>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v>2</v>
      </c>
      <c r="C57" s="27" t="n"/>
      <c r="D57" s="27" t="n"/>
      <c r="E57" s="27" t="n"/>
      <c r="F57" s="27" t="n"/>
      <c r="G57" s="27" t="n"/>
      <c r="H57" s="27" t="n"/>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4">
        <f>SUMPRODUCT(B65:U65*($B$16:$U$16=""))</f>
        <v/>
      </c>
    </row>
    <row r="66" ht="15.75" customHeight="1" s="38">
      <c r="A66" s="23">
        <f>IF($A35="","",$A35)</f>
        <v/>
      </c>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v>3</v>
      </c>
      <c r="C70" s="27" t="n"/>
      <c r="D70" s="27" t="n"/>
      <c r="E70" s="27" t="n"/>
      <c r="F70" s="27" t="n"/>
      <c r="G70" s="27" t="n"/>
      <c r="H70" s="27" t="n"/>
      <c r="I70" s="27" t="n"/>
      <c r="J70" s="27" t="n"/>
      <c r="K70" s="27" t="n"/>
      <c r="L70" s="27" t="n"/>
      <c r="M70" s="27" t="n"/>
      <c r="N70" s="27" t="n"/>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v>1</v>
      </c>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v>1</v>
      </c>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v>2</v>
      </c>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v>1</v>
      </c>
      <c r="C98" s="27" t="n"/>
      <c r="D98" s="27" t="n"/>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Y10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SEASON TEMPLATE — duplicate this tab, rename it (e.g. S9), fill in fixtures</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Match</t>
        </is>
      </c>
      <c r="B2" s="6" t="inlineStr">
        <is>
          <t>GW1</t>
        </is>
      </c>
      <c r="C2" s="6" t="inlineStr">
        <is>
          <t>GW2</t>
        </is>
      </c>
      <c r="D2" s="6" t="inlineStr">
        <is>
          <t>GW3</t>
        </is>
      </c>
      <c r="E2" s="6" t="inlineStr">
        <is>
          <t>GW4</t>
        </is>
      </c>
      <c r="F2" s="6" t="inlineStr">
        <is>
          <t>GW5</t>
        </is>
      </c>
      <c r="G2" s="6" t="inlineStr">
        <is>
          <t>GW6</t>
        </is>
      </c>
      <c r="H2" s="6" t="inlineStr">
        <is>
          <t>GW7</t>
        </is>
      </c>
      <c r="I2" s="6" t="inlineStr">
        <is>
          <t>GW8</t>
        </is>
      </c>
      <c r="J2" s="6" t="inlineStr">
        <is>
          <t>GW9</t>
        </is>
      </c>
      <c r="K2" s="6" t="inlineStr">
        <is>
          <t>GW10</t>
        </is>
      </c>
      <c r="L2" s="6" t="inlineStr">
        <is>
          <t>GW11</t>
        </is>
      </c>
      <c r="M2" s="6" t="inlineStr">
        <is>
          <t>GW12</t>
        </is>
      </c>
      <c r="N2" s="6" t="inlineStr">
        <is>
          <t>GW13</t>
        </is>
      </c>
      <c r="O2" s="6" t="inlineStr">
        <is>
          <t>GW14</t>
        </is>
      </c>
      <c r="P2" s="6" t="inlineStr">
        <is>
          <t>GW15</t>
        </is>
      </c>
      <c r="Q2" s="6" t="inlineStr">
        <is>
          <t>GW16</t>
        </is>
      </c>
      <c r="R2" s="6" t="inlineStr">
        <is>
          <t>GW17</t>
        </is>
      </c>
      <c r="S2" s="6" t="inlineStr">
        <is>
          <t>GW18</t>
        </is>
      </c>
      <c r="T2" s="6" t="inlineStr">
        <is>
          <t>GW19</t>
        </is>
      </c>
      <c r="U2" s="6" t="inlineStr">
        <is>
          <t>GW20</t>
        </is>
      </c>
      <c r="X2" s="7" t="inlineStr">
        <is>
          <t>SEASON SUMMARY</t>
        </is>
      </c>
    </row>
    <row r="3">
      <c r="A3" s="8" t="inlineStr">
        <is>
          <t>Date</t>
        </is>
      </c>
      <c r="B3" s="9" t="n"/>
      <c r="C3" s="9" t="n"/>
      <c r="D3" s="9" t="n"/>
      <c r="E3" s="9" t="n"/>
      <c r="F3" s="9" t="n"/>
      <c r="G3" s="9" t="n"/>
      <c r="H3" s="9" t="n"/>
      <c r="I3" s="9" t="n"/>
      <c r="J3" s="9" t="n"/>
      <c r="K3" s="9" t="n"/>
      <c r="L3" s="9" t="n"/>
      <c r="M3" s="9" t="n"/>
      <c r="N3" s="9" t="n"/>
      <c r="O3" s="9" t="n"/>
      <c r="P3" s="9" t="n"/>
      <c r="Q3" s="9" t="n"/>
      <c r="R3" s="9" t="n"/>
      <c r="S3" s="9" t="n"/>
      <c r="T3" s="9" t="n"/>
      <c r="U3" s="9" t="n"/>
      <c r="X3" s="7" t="inlineStr">
        <is>
          <t>Played</t>
        </is>
      </c>
      <c r="Y3" s="10">
        <f>Y4+Y5+Y6</f>
        <v/>
      </c>
    </row>
    <row r="4">
      <c r="A4" s="8" t="inlineStr">
        <is>
          <t>Kick-off</t>
        </is>
      </c>
      <c r="B4" s="11" t="n"/>
      <c r="C4" s="11" t="n"/>
      <c r="D4" s="11" t="n"/>
      <c r="E4" s="11" t="n"/>
      <c r="F4" s="11" t="n"/>
      <c r="G4" s="11" t="n"/>
      <c r="H4" s="11" t="n"/>
      <c r="I4" s="11" t="n"/>
      <c r="J4" s="11" t="n"/>
      <c r="K4" s="11" t="n"/>
      <c r="L4" s="11" t="n"/>
      <c r="M4" s="11" t="n"/>
      <c r="N4" s="11" t="n"/>
      <c r="O4" s="11" t="n"/>
      <c r="P4" s="11" t="n"/>
      <c r="Q4" s="11" t="n"/>
      <c r="R4" s="11" t="n"/>
      <c r="S4" s="11" t="n"/>
      <c r="T4" s="11" t="n"/>
      <c r="U4" s="11" t="n"/>
      <c r="X4" s="7" t="inlineStr">
        <is>
          <t>Won</t>
        </is>
      </c>
      <c r="Y4" s="10">
        <f>SUMPRODUCT(($B$9:$U$9="W")*($B$16:$U$16=""))</f>
        <v/>
      </c>
    </row>
    <row r="5" ht="27.75" customHeight="1" s="38">
      <c r="A5" s="8" t="inlineStr">
        <is>
          <t>Opponent</t>
        </is>
      </c>
      <c r="B5" s="12" t="n"/>
      <c r="C5" s="12" t="n"/>
      <c r="D5" s="12" t="n"/>
      <c r="E5" s="12" t="n"/>
      <c r="F5" s="12" t="n"/>
      <c r="G5" s="12" t="n"/>
      <c r="H5" s="12" t="n"/>
      <c r="I5" s="12" t="n"/>
      <c r="J5" s="12" t="n"/>
      <c r="K5" s="12" t="n"/>
      <c r="L5" s="12" t="n"/>
      <c r="M5" s="12" t="n"/>
      <c r="N5" s="12" t="n"/>
      <c r="O5" s="12" t="n"/>
      <c r="P5" s="12" t="n"/>
      <c r="Q5" s="12" t="n"/>
      <c r="R5" s="12" t="n"/>
      <c r="S5" s="12" t="n"/>
      <c r="T5" s="12" t="n"/>
      <c r="U5" s="12" t="n"/>
      <c r="X5" s="7" t="inlineStr">
        <is>
          <t>Drawn</t>
        </is>
      </c>
      <c r="Y5" s="10">
        <f>SUMPRODUCT(($B$9:$U$9="D")*($B$16:$U$16=""))</f>
        <v/>
      </c>
    </row>
    <row r="6">
      <c r="A6" s="8" t="inlineStr">
        <is>
          <t>Our goals</t>
        </is>
      </c>
      <c r="B6" s="26" t="n"/>
      <c r="C6" s="26" t="n"/>
      <c r="D6" s="26" t="n"/>
      <c r="E6" s="26" t="n"/>
      <c r="F6" s="26" t="n"/>
      <c r="G6" s="26" t="n"/>
      <c r="H6" s="26" t="n"/>
      <c r="I6" s="26" t="n"/>
      <c r="J6" s="26" t="n"/>
      <c r="K6" s="26" t="n"/>
      <c r="L6" s="26" t="n"/>
      <c r="M6" s="26" t="n"/>
      <c r="N6" s="26" t="n"/>
      <c r="O6" s="26" t="n"/>
      <c r="P6" s="26" t="n"/>
      <c r="Q6" s="26" t="n"/>
      <c r="R6" s="26" t="n"/>
      <c r="S6" s="26" t="n"/>
      <c r="T6" s="26" t="n"/>
      <c r="U6" s="26" t="n"/>
      <c r="X6" s="7" t="inlineStr">
        <is>
          <t>Lost</t>
        </is>
      </c>
      <c r="Y6" s="10">
        <f>SUMPRODUCT(($B$9:$U$9="L")*($B$16:$U$16=""))</f>
        <v/>
      </c>
    </row>
    <row r="7">
      <c r="A7" s="8" t="inlineStr">
        <is>
          <t>Their goals</t>
        </is>
      </c>
      <c r="B7" s="26" t="n"/>
      <c r="C7" s="26" t="n"/>
      <c r="D7" s="26" t="n"/>
      <c r="E7" s="26" t="n"/>
      <c r="F7" s="26" t="n"/>
      <c r="G7" s="26" t="n"/>
      <c r="H7" s="26" t="n"/>
      <c r="I7" s="26" t="n"/>
      <c r="J7" s="26" t="n"/>
      <c r="K7" s="26" t="n"/>
      <c r="L7" s="26" t="n"/>
      <c r="M7" s="26" t="n"/>
      <c r="N7" s="26" t="n"/>
      <c r="O7" s="26" t="n"/>
      <c r="P7" s="26" t="n"/>
      <c r="Q7" s="26" t="n"/>
      <c r="R7" s="26" t="n"/>
      <c r="S7" s="26" t="n"/>
      <c r="T7" s="26" t="n"/>
      <c r="U7" s="26" t="n"/>
      <c r="X7" s="7" t="inlineStr">
        <is>
          <t>Goals for</t>
        </is>
      </c>
      <c r="Y7" s="10">
        <f>SUMPRODUCT($B$6:$U$6*($B$16:$U$16=""))</f>
        <v/>
      </c>
    </row>
    <row r="8">
      <c r="A8" s="8" t="inlineStr">
        <is>
          <t>Score</t>
        </is>
      </c>
      <c r="B8" s="14">
        <f>IF(COUNT(B6:B7)&lt;2,"",B6&amp;"-"&amp;B7)</f>
        <v/>
      </c>
      <c r="C8" s="14">
        <f>IF(COUNT(C6:C7)&lt;2,"",C6&amp;"-"&amp;C7)</f>
        <v/>
      </c>
      <c r="D8" s="14">
        <f>IF(COUNT(D6:D7)&lt;2,"",D6&amp;"-"&amp;D7)</f>
        <v/>
      </c>
      <c r="E8" s="14">
        <f>IF(COUNT(E6:E7)&lt;2,"",E6&amp;"-"&amp;E7)</f>
        <v/>
      </c>
      <c r="F8" s="14">
        <f>IF(COUNT(F6:F7)&lt;2,"",F6&amp;"-"&amp;F7)</f>
        <v/>
      </c>
      <c r="G8" s="14">
        <f>IF(COUNT(G6:G7)&lt;2,"",G6&amp;"-"&amp;G7)</f>
        <v/>
      </c>
      <c r="H8" s="14">
        <f>IF(COUNT(H6:H7)&lt;2,"",H6&amp;"-"&amp;H7)</f>
        <v/>
      </c>
      <c r="I8" s="14">
        <f>IF(COUNT(I6:I7)&lt;2,"",I6&amp;"-"&amp;I7)</f>
        <v/>
      </c>
      <c r="J8" s="14">
        <f>IF(COUNT(J6:J7)&lt;2,"",J6&amp;"-"&amp;J7)</f>
        <v/>
      </c>
      <c r="K8" s="14">
        <f>IF(COUNT(K6:K7)&lt;2,"",K6&amp;"-"&amp;K7)</f>
        <v/>
      </c>
      <c r="L8" s="14">
        <f>IF(COUNT(L6:L7)&lt;2,"",L6&amp;"-"&amp;L7)</f>
        <v/>
      </c>
      <c r="M8" s="14">
        <f>IF(COUNT(M6:M7)&lt;2,"",M6&amp;"-"&amp;M7)</f>
        <v/>
      </c>
      <c r="N8" s="14">
        <f>IF(COUNT(N6:N7)&lt;2,"",N6&amp;"-"&amp;N7)</f>
        <v/>
      </c>
      <c r="O8" s="14">
        <f>IF(COUNT(O6:O7)&lt;2,"",O6&amp;"-"&amp;O7)</f>
        <v/>
      </c>
      <c r="P8" s="14">
        <f>IF(COUNT(P6:P7)&lt;2,"",P6&amp;"-"&amp;P7)</f>
        <v/>
      </c>
      <c r="Q8" s="14">
        <f>IF(COUNT(Q6:Q7)&lt;2,"",Q6&amp;"-"&amp;Q7)</f>
        <v/>
      </c>
      <c r="R8" s="14">
        <f>IF(COUNT(R6:R7)&lt;2,"",R6&amp;"-"&amp;R7)</f>
        <v/>
      </c>
      <c r="S8" s="14">
        <f>IF(COUNT(S6:S7)&lt;2,"",S6&amp;"-"&amp;S7)</f>
        <v/>
      </c>
      <c r="T8" s="14">
        <f>IF(COUNT(T6:T7)&lt;2,"",T6&amp;"-"&amp;T7)</f>
        <v/>
      </c>
      <c r="U8" s="14">
        <f>IF(COUNT(U6:U7)&lt;2,"",U6&amp;"-"&amp;U7)</f>
        <v/>
      </c>
      <c r="X8" s="7" t="inlineStr">
        <is>
          <t>Goals against</t>
        </is>
      </c>
      <c r="Y8" s="10">
        <f>SUMPRODUCT($B$7:$U$7*($B$16:$U$16=""))</f>
        <v/>
      </c>
    </row>
    <row r="9">
      <c r="A9" s="8" t="inlineStr">
        <is>
          <t>Result</t>
        </is>
      </c>
      <c r="B9" s="14">
        <f>IF(COUNT(B6:B7)&lt;2,"",IF(B6&gt;B7,"W",IF(B6&lt;B7,"L","D")))</f>
        <v/>
      </c>
      <c r="C9" s="14">
        <f>IF(COUNT(C6:C7)&lt;2,"",IF(C6&gt;C7,"W",IF(C6&lt;C7,"L","D")))</f>
        <v/>
      </c>
      <c r="D9" s="14">
        <f>IF(COUNT(D6:D7)&lt;2,"",IF(D6&gt;D7,"W",IF(D6&lt;D7,"L","D")))</f>
        <v/>
      </c>
      <c r="E9" s="14">
        <f>IF(COUNT(E6:E7)&lt;2,"",IF(E6&gt;E7,"W",IF(E6&lt;E7,"L","D")))</f>
        <v/>
      </c>
      <c r="F9" s="14">
        <f>IF(COUNT(F6:F7)&lt;2,"",IF(F6&gt;F7,"W",IF(F6&lt;F7,"L","D")))</f>
        <v/>
      </c>
      <c r="G9" s="14">
        <f>IF(COUNT(G6:G7)&lt;2,"",IF(G6&gt;G7,"W",IF(G6&lt;G7,"L","D")))</f>
        <v/>
      </c>
      <c r="H9" s="14">
        <f>IF(COUNT(H6:H7)&lt;2,"",IF(H6&gt;H7,"W",IF(H6&lt;H7,"L","D")))</f>
        <v/>
      </c>
      <c r="I9" s="14">
        <f>IF(COUNT(I6:I7)&lt;2,"",IF(I6&gt;I7,"W",IF(I6&lt;I7,"L","D")))</f>
        <v/>
      </c>
      <c r="J9" s="14">
        <f>IF(COUNT(J6:J7)&lt;2,"",IF(J6&gt;J7,"W",IF(J6&lt;J7,"L","D")))</f>
        <v/>
      </c>
      <c r="K9" s="14">
        <f>IF(COUNT(K6:K7)&lt;2,"",IF(K6&gt;K7,"W",IF(K6&lt;K7,"L","D")))</f>
        <v/>
      </c>
      <c r="L9" s="14">
        <f>IF(COUNT(L6:L7)&lt;2,"",IF(L6&gt;L7,"W",IF(L6&lt;L7,"L","D")))</f>
        <v/>
      </c>
      <c r="M9" s="14">
        <f>IF(COUNT(M6:M7)&lt;2,"",IF(M6&gt;M7,"W",IF(M6&lt;M7,"L","D")))</f>
        <v/>
      </c>
      <c r="N9" s="14">
        <f>IF(COUNT(N6:N7)&lt;2,"",IF(N6&gt;N7,"W",IF(N6&lt;N7,"L","D")))</f>
        <v/>
      </c>
      <c r="O9" s="14">
        <f>IF(COUNT(O6:O7)&lt;2,"",IF(O6&gt;O7,"W",IF(O6&lt;O7,"L","D")))</f>
        <v/>
      </c>
      <c r="P9" s="14">
        <f>IF(COUNT(P6:P7)&lt;2,"",IF(P6&gt;P7,"W",IF(P6&lt;P7,"L","D")))</f>
        <v/>
      </c>
      <c r="Q9" s="14">
        <f>IF(COUNT(Q6:Q7)&lt;2,"",IF(Q6&gt;Q7,"W",IF(Q6&lt;Q7,"L","D")))</f>
        <v/>
      </c>
      <c r="R9" s="14">
        <f>IF(COUNT(R6:R7)&lt;2,"",IF(R6&gt;R7,"W",IF(R6&lt;R7,"L","D")))</f>
        <v/>
      </c>
      <c r="S9" s="14">
        <f>IF(COUNT(S6:S7)&lt;2,"",IF(S6&gt;S7,"W",IF(S6&lt;S7,"L","D")))</f>
        <v/>
      </c>
      <c r="T9" s="14">
        <f>IF(COUNT(T6:T7)&lt;2,"",IF(T6&gt;T7,"W",IF(T6&lt;T7,"L","D")))</f>
        <v/>
      </c>
      <c r="U9" s="14">
        <f>IF(COUNT(U6:U7)&lt;2,"",IF(U6&gt;U7,"W",IF(U6&lt;U7,"L","D")))</f>
        <v/>
      </c>
      <c r="X9" s="7" t="inlineStr">
        <is>
          <t>Top scorer</t>
        </is>
      </c>
      <c r="Y9" s="10">
        <f t="array" ref="Y9">IF(MAX($V$49:$V$76)=0,"—",INDEX($A$49:$A$76,MATCH(MAX($V$49:$V$76),$V$49:$V$76,0))&amp;" ("&amp;MAX($V$49:$V$76)&amp;")")</f>
        <v/>
      </c>
    </row>
    <row r="10">
      <c r="A10" s="8" t="inlineStr">
        <is>
          <t>MOTM</t>
        </is>
      </c>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X10" s="7" t="inlineStr">
        <is>
          <t>Most apps</t>
        </is>
      </c>
      <c r="Y10" s="10">
        <f t="array" ref="Y10">IF(MAX($V$18:$V$45)=0,"—",INDEX($A$18:$A$45,MATCH(MAX($V$18:$V$45),$V$18:$V$45,0))&amp;" ("&amp;MAX($V$18:$V$45)&amp;")")</f>
        <v/>
      </c>
    </row>
    <row r="11">
      <c r="A11" s="8" t="inlineStr">
        <is>
          <t>Champagne moment</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X11" s="7" t="inlineStr">
        <is>
          <t>Season cost</t>
        </is>
      </c>
      <c r="Y11" s="16">
        <f>SUM($B$13:$U$13)</f>
        <v/>
      </c>
    </row>
    <row r="12" ht="25.5" customHeight="1" s="38">
      <c r="A12" s="8" t="inlineStr">
        <is>
          <t>Comments</t>
        </is>
      </c>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X12" s="7" t="inlineStr">
        <is>
          <t>Paid by</t>
        </is>
      </c>
      <c r="Y12" s="18" t="n"/>
    </row>
    <row r="13">
      <c r="A13" s="8" t="inlineStr">
        <is>
          <t>Match cost (£)</t>
        </is>
      </c>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row>
    <row r="14">
      <c r="A14" s="8" t="inlineStr">
        <is>
          <t>Players in game</t>
        </is>
      </c>
      <c r="B14" s="14">
        <f>COUNT(B$18:B$45)</f>
        <v/>
      </c>
      <c r="C14" s="14">
        <f>COUNT(C$18:C$45)</f>
        <v/>
      </c>
      <c r="D14" s="14">
        <f>COUNT(D$18:D$45)</f>
        <v/>
      </c>
      <c r="E14" s="14">
        <f>COUNT(E$18:E$45)</f>
        <v/>
      </c>
      <c r="F14" s="14">
        <f>COUNT(F$18:F$45)</f>
        <v/>
      </c>
      <c r="G14" s="14">
        <f>COUNT(G$18:G$45)</f>
        <v/>
      </c>
      <c r="H14" s="14">
        <f>COUNT(H$18:H$45)</f>
        <v/>
      </c>
      <c r="I14" s="14">
        <f>COUNT(I$18:I$45)</f>
        <v/>
      </c>
      <c r="J14" s="14">
        <f>COUNT(J$18:J$45)</f>
        <v/>
      </c>
      <c r="K14" s="14">
        <f>COUNT(K$18:K$45)</f>
        <v/>
      </c>
      <c r="L14" s="14">
        <f>COUNT(L$18:L$45)</f>
        <v/>
      </c>
      <c r="M14" s="14">
        <f>COUNT(M$18:M$45)</f>
        <v/>
      </c>
      <c r="N14" s="14">
        <f>COUNT(N$18:N$45)</f>
        <v/>
      </c>
      <c r="O14" s="14">
        <f>COUNT(O$18:O$45)</f>
        <v/>
      </c>
      <c r="P14" s="14">
        <f>COUNT(P$18:P$45)</f>
        <v/>
      </c>
      <c r="Q14" s="14">
        <f>COUNT(Q$18:Q$45)</f>
        <v/>
      </c>
      <c r="R14" s="14">
        <f>COUNT(R$18:R$45)</f>
        <v/>
      </c>
      <c r="S14" s="14">
        <f>COUNT(S$18:S$45)</f>
        <v/>
      </c>
      <c r="T14" s="14">
        <f>COUNT(T$18:T$45)</f>
        <v/>
      </c>
      <c r="U14" s="14">
        <f>COUNT(U$18:U$45)</f>
        <v/>
      </c>
    </row>
    <row r="15">
      <c r="A15" s="8" t="inlineStr">
        <is>
          <t>Cost per player (£)</t>
        </is>
      </c>
      <c r="B15" s="20">
        <f>IF(B$14=0,0,N(B$13)/B$14)</f>
        <v/>
      </c>
      <c r="C15" s="20">
        <f>IF(C$14=0,0,N(C$13)/C$14)</f>
        <v/>
      </c>
      <c r="D15" s="20">
        <f>IF(D$14=0,0,N(D$13)/D$14)</f>
        <v/>
      </c>
      <c r="E15" s="20">
        <f>IF(E$14=0,0,N(E$13)/E$14)</f>
        <v/>
      </c>
      <c r="F15" s="20">
        <f>IF(F$14=0,0,N(F$13)/F$14)</f>
        <v/>
      </c>
      <c r="G15" s="20">
        <f>IF(G$14=0,0,N(G$13)/G$14)</f>
        <v/>
      </c>
      <c r="H15" s="20">
        <f>IF(H$14=0,0,N(H$13)/H$14)</f>
        <v/>
      </c>
      <c r="I15" s="20">
        <f>IF(I$14=0,0,N(I$13)/I$14)</f>
        <v/>
      </c>
      <c r="J15" s="20">
        <f>IF(J$14=0,0,N(J$13)/J$14)</f>
        <v/>
      </c>
      <c r="K15" s="20">
        <f>IF(K$14=0,0,N(K$13)/K$14)</f>
        <v/>
      </c>
      <c r="L15" s="20">
        <f>IF(L$14=0,0,N(L$13)/L$14)</f>
        <v/>
      </c>
      <c r="M15" s="20">
        <f>IF(M$14=0,0,N(M$13)/M$14)</f>
        <v/>
      </c>
      <c r="N15" s="20">
        <f>IF(N$14=0,0,N(N$13)/N$14)</f>
        <v/>
      </c>
      <c r="O15" s="20">
        <f>IF(O$14=0,0,N(O$13)/O$14)</f>
        <v/>
      </c>
      <c r="P15" s="20">
        <f>IF(P$14=0,0,N(P$13)/P$14)</f>
        <v/>
      </c>
      <c r="Q15" s="20">
        <f>IF(Q$14=0,0,N(Q$13)/Q$14)</f>
        <v/>
      </c>
      <c r="R15" s="20">
        <f>IF(R$14=0,0,N(R$13)/R$14)</f>
        <v/>
      </c>
      <c r="S15" s="20">
        <f>IF(S$14=0,0,N(S$13)/S$14)</f>
        <v/>
      </c>
      <c r="T15" s="20">
        <f>IF(T$14=0,0,N(T$13)/T$14)</f>
        <v/>
      </c>
      <c r="U15" s="20">
        <f>IF(U$14=0,0,N(U$13)/U$14)</f>
        <v/>
      </c>
    </row>
    <row r="16">
      <c r="A16" s="8" t="inlineStr">
        <is>
          <t>Type (excl. from records)</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row>
    <row r="17">
      <c r="A17" s="21" t="inlineStr">
        <is>
          <t>APPEARANCES (1 = played)</t>
        </is>
      </c>
      <c r="B17" s="22" t="inlineStr">
        <is>
          <t>GW1</t>
        </is>
      </c>
      <c r="C17" s="22" t="inlineStr">
        <is>
          <t>GW2</t>
        </is>
      </c>
      <c r="D17" s="22" t="inlineStr">
        <is>
          <t>GW3</t>
        </is>
      </c>
      <c r="E17" s="22" t="inlineStr">
        <is>
          <t>GW4</t>
        </is>
      </c>
      <c r="F17" s="22" t="inlineStr">
        <is>
          <t>GW5</t>
        </is>
      </c>
      <c r="G17" s="22" t="inlineStr">
        <is>
          <t>GW6</t>
        </is>
      </c>
      <c r="H17" s="22" t="inlineStr">
        <is>
          <t>GW7</t>
        </is>
      </c>
      <c r="I17" s="22" t="inlineStr">
        <is>
          <t>GW8</t>
        </is>
      </c>
      <c r="J17" s="22" t="inlineStr">
        <is>
          <t>GW9</t>
        </is>
      </c>
      <c r="K17" s="22" t="inlineStr">
        <is>
          <t>GW10</t>
        </is>
      </c>
      <c r="L17" s="22" t="inlineStr">
        <is>
          <t>GW11</t>
        </is>
      </c>
      <c r="M17" s="22" t="inlineStr">
        <is>
          <t>GW12</t>
        </is>
      </c>
      <c r="N17" s="22" t="inlineStr">
        <is>
          <t>GW13</t>
        </is>
      </c>
      <c r="O17" s="22" t="inlineStr">
        <is>
          <t>GW14</t>
        </is>
      </c>
      <c r="P17" s="22" t="inlineStr">
        <is>
          <t>GW15</t>
        </is>
      </c>
      <c r="Q17" s="22" t="inlineStr">
        <is>
          <t>GW16</t>
        </is>
      </c>
      <c r="R17" s="22" t="inlineStr">
        <is>
          <t>GW17</t>
        </is>
      </c>
      <c r="S17" s="22" t="inlineStr">
        <is>
          <t>GW18</t>
        </is>
      </c>
      <c r="T17" s="22" t="inlineStr">
        <is>
          <t>GW19</t>
        </is>
      </c>
      <c r="U17" s="22" t="inlineStr">
        <is>
          <t>GW20</t>
        </is>
      </c>
      <c r="V17" s="22" t="inlineStr">
        <is>
          <t>Apps</t>
        </is>
      </c>
      <c r="W17" s="22" t="inlineStr">
        <is>
          <t>Cost (£)</t>
        </is>
      </c>
    </row>
    <row r="18">
      <c r="A18" s="23" t="inlineStr">
        <is>
          <t>Ahmed</t>
        </is>
      </c>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4">
        <f>SUMPRODUCT(B18:U18*($B$16:$U$16=""))</f>
        <v/>
      </c>
      <c r="W18" s="20">
        <f>SUMPRODUCT($B18:$U18,$B$15:$U$15)</f>
        <v/>
      </c>
    </row>
    <row r="19">
      <c r="A19" s="23" t="inlineStr">
        <is>
          <t>Alex Ruben</t>
        </is>
      </c>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4">
        <f>SUMPRODUCT(B19:U19*($B$16:$U$16=""))</f>
        <v/>
      </c>
      <c r="W19" s="20">
        <f>SUMPRODUCT($B19:$U19,$B$15:$U$15)</f>
        <v/>
      </c>
    </row>
    <row r="20">
      <c r="A20" s="23" t="inlineStr">
        <is>
          <t>Andy Cowan</t>
        </is>
      </c>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4">
        <f>SUMPRODUCT(B20:U20*($B$16:$U$16=""))</f>
        <v/>
      </c>
      <c r="W20" s="20">
        <f>SUMPRODUCT($B20:$U20,$B$15:$U$15)</f>
        <v/>
      </c>
    </row>
    <row r="21" ht="15.75" customHeight="1" s="38">
      <c r="A21" s="23" t="inlineStr">
        <is>
          <t>Ben Merrett</t>
        </is>
      </c>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4">
        <f>SUMPRODUCT(B21:U21*($B$16:$U$16=""))</f>
        <v/>
      </c>
      <c r="W21" s="20">
        <f>SUMPRODUCT($B21:$U21,$B$15:$U$15)</f>
        <v/>
      </c>
    </row>
    <row r="22" ht="15.75" customHeight="1" s="38">
      <c r="A22" s="23" t="inlineStr">
        <is>
          <t>Callum McCarthy</t>
        </is>
      </c>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4">
        <f>SUMPRODUCT(B22:U22*($B$16:$U$16=""))</f>
        <v/>
      </c>
      <c r="W22" s="20">
        <f>SUMPRODUCT($B22:$U22,$B$15:$U$15)</f>
        <v/>
      </c>
    </row>
    <row r="23" ht="15.75" customHeight="1" s="38">
      <c r="A23" s="23" t="inlineStr">
        <is>
          <t>Cecil Watson</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4">
        <f>SUMPRODUCT(B23:U23*($B$16:$U$16=""))</f>
        <v/>
      </c>
      <c r="W23" s="20">
        <f>SUMPRODUCT($B23:$U23,$B$15:$U$15)</f>
        <v/>
      </c>
    </row>
    <row r="24" ht="15.75" customHeight="1" s="38">
      <c r="A24" s="23" t="inlineStr">
        <is>
          <t>Conall Templeman</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4">
        <f>SUMPRODUCT(B24:U24*($B$16:$U$16=""))</f>
        <v/>
      </c>
      <c r="W24" s="20">
        <f>SUMPRODUCT($B24:$U24,$B$15:$U$15)</f>
        <v/>
      </c>
    </row>
    <row r="25" ht="15.75" customHeight="1" s="38">
      <c r="A25" s="23" t="inlineStr">
        <is>
          <t>Eddie McLaughlin</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4">
        <f>SUMPRODUCT(B25:U25*($B$16:$U$16=""))</f>
        <v/>
      </c>
      <c r="W25" s="20">
        <f>SUMPRODUCT($B25:$U25,$B$15:$U$15)</f>
        <v/>
      </c>
    </row>
    <row r="26" ht="15.75" customHeight="1" s="38">
      <c r="A26" s="23" t="inlineStr">
        <is>
          <t>Finn Cawley</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4">
        <f>SUMPRODUCT(B26:U26*($B$16:$U$16=""))</f>
        <v/>
      </c>
      <c r="W26" s="20">
        <f>SUMPRODUCT($B26:$U26,$B$15:$U$15)</f>
        <v/>
      </c>
    </row>
    <row r="27" ht="15.75" customHeight="1" s="38">
      <c r="A27" s="23" t="inlineStr">
        <is>
          <t>George Barbantan</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4">
        <f>SUMPRODUCT(B27:U27*($B$16:$U$16=""))</f>
        <v/>
      </c>
      <c r="W27" s="20">
        <f>SUMPRODUCT($B27:$U27,$B$15:$U$15)</f>
        <v/>
      </c>
    </row>
    <row r="28" ht="15.75" customHeight="1" s="38">
      <c r="A28" s="23" t="inlineStr">
        <is>
          <t>Henry Linklater</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4">
        <f>SUMPRODUCT(B28:U28*($B$16:$U$16=""))</f>
        <v/>
      </c>
      <c r="W28" s="20">
        <f>SUMPRODUCT($B28:$U28,$B$15:$U$15)</f>
        <v/>
      </c>
    </row>
    <row r="29" ht="15.75" customHeight="1" s="38">
      <c r="A29" s="23" t="inlineStr">
        <is>
          <t>Isaac Mond</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4">
        <f>SUMPRODUCT(B29:U29*($B$16:$U$16=""))</f>
        <v/>
      </c>
      <c r="W29" s="20">
        <f>SUMPRODUCT($B29:$U29,$B$15:$U$15)</f>
        <v/>
      </c>
    </row>
    <row r="30" ht="15.75" customHeight="1" s="38">
      <c r="A30" s="23" t="inlineStr">
        <is>
          <t>Jake Harrison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4">
        <f>SUMPRODUCT(B30:U30*($B$16:$U$16=""))</f>
        <v/>
      </c>
      <c r="W30" s="20">
        <f>SUMPRODUCT($B30:$U30,$B$15:$U$15)</f>
        <v/>
      </c>
    </row>
    <row r="31" ht="15.75" customHeight="1" s="38">
      <c r="A31" s="23" t="inlineStr">
        <is>
          <t>Jake Ringer</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4">
        <f>SUMPRODUCT(B31:U31*($B$16:$U$16=""))</f>
        <v/>
      </c>
      <c r="W31" s="20">
        <f>SUMPRODUCT($B31:$U31,$B$15:$U$15)</f>
        <v/>
      </c>
    </row>
    <row r="32" ht="15.75" customHeight="1" s="38">
      <c r="A32" s="23" t="inlineStr">
        <is>
          <t>Keshav Singh</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4">
        <f>SUMPRODUCT(B32:U32*($B$16:$U$16=""))</f>
        <v/>
      </c>
      <c r="W32" s="20">
        <f>SUMPRODUCT($B32:$U32,$B$15:$U$15)</f>
        <v/>
      </c>
    </row>
    <row r="33" ht="15.75" customHeight="1" s="38">
      <c r="A33" s="23" t="inlineStr">
        <is>
          <t>Mark Pellowe</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4">
        <f>SUMPRODUCT(B33:U33*($B$16:$U$16=""))</f>
        <v/>
      </c>
      <c r="W33" s="20">
        <f>SUMPRODUCT($B33:$U33,$B$15:$U$15)</f>
        <v/>
      </c>
    </row>
    <row r="34" ht="15.75" customHeight="1" s="38">
      <c r="A34" s="23" t="inlineStr">
        <is>
          <t>Max Cobain</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4">
        <f>SUMPRODUCT(B34:U34*($B$16:$U$16=""))</f>
        <v/>
      </c>
      <c r="W34" s="20">
        <f>SUMPRODUCT($B34:$U34,$B$15:$U$15)</f>
        <v/>
      </c>
    </row>
    <row r="35" ht="15.75" customHeight="1" s="38">
      <c r="A35" s="23" t="inlineStr">
        <is>
          <t>Neeraj Radia</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4">
        <f>SUMPRODUCT(B35:U35*($B$16:$U$16=""))</f>
        <v/>
      </c>
      <c r="W35" s="20">
        <f>SUMPRODUCT($B35:$U35,$B$15:$U$15)</f>
        <v/>
      </c>
    </row>
    <row r="36" ht="15.75" customHeight="1" s="38">
      <c r="A36" s="23" t="inlineStr">
        <is>
          <t>Phil Knott</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4">
        <f>SUMPRODUCT(B36:U36*($B$16:$U$16=""))</f>
        <v/>
      </c>
      <c r="W36" s="20">
        <f>SUMPRODUCT($B36:$U36,$B$15:$U$15)</f>
        <v/>
      </c>
    </row>
    <row r="37" ht="15.75" customHeight="1" s="38">
      <c r="A37" s="23" t="inlineStr">
        <is>
          <t>Robin Watson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4">
        <f>SUMPRODUCT(B37:U37*($B$16:$U$16=""))</f>
        <v/>
      </c>
      <c r="W37" s="20">
        <f>SUMPRODUCT($B37:$U37,$B$15:$U$15)</f>
        <v/>
      </c>
    </row>
    <row r="38" ht="15.75" customHeight="1" s="38">
      <c r="A38" s="23" t="inlineStr">
        <is>
          <t>Sam Holt</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4">
        <f>SUMPRODUCT(B38:U38*($B$16:$U$16=""))</f>
        <v/>
      </c>
      <c r="W38" s="20">
        <f>SUMPRODUCT($B38:$U38,$B$15:$U$15)</f>
        <v/>
      </c>
    </row>
    <row r="39" ht="15.75" customHeight="1" s="38">
      <c r="A39" s="23" t="inlineStr">
        <is>
          <t>Seb Burgess</t>
        </is>
      </c>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4">
        <f>SUMPRODUCT(B39:U39*($B$16:$U$16=""))</f>
        <v/>
      </c>
      <c r="W39" s="20">
        <f>SUMPRODUCT($B39:$U39,$B$15:$U$15)</f>
        <v/>
      </c>
    </row>
    <row r="40" ht="15.75" customHeight="1" s="38">
      <c r="A40" s="23"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4">
        <f>SUMPRODUCT(B40:U40*($B$16:$U$16=""))</f>
        <v/>
      </c>
      <c r="W40" s="20">
        <f>SUMPRODUCT($B40:$U40,$B$15:$U$15)</f>
        <v/>
      </c>
    </row>
    <row r="41" ht="15.75" customHeight="1" s="38">
      <c r="A41" s="23"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4">
        <f>SUMPRODUCT(B41:U41*($B$16:$U$16=""))</f>
        <v/>
      </c>
      <c r="W41" s="20">
        <f>SUMPRODUCT($B41:$U41,$B$15:$U$15)</f>
        <v/>
      </c>
    </row>
    <row r="42" ht="15.75" customHeight="1" s="38">
      <c r="A42" s="23"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4">
        <f>SUMPRODUCT(B42:U42*($B$16:$U$16=""))</f>
        <v/>
      </c>
      <c r="W42" s="20">
        <f>SUMPRODUCT($B42:$U42,$B$15:$U$15)</f>
        <v/>
      </c>
    </row>
    <row r="43" ht="15.75" customHeight="1" s="38">
      <c r="A43" s="23"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4">
        <f>SUMPRODUCT(B43:U43*($B$16:$U$16=""))</f>
        <v/>
      </c>
      <c r="W43" s="20">
        <f>SUMPRODUCT($B43:$U43,$B$15:$U$15)</f>
        <v/>
      </c>
    </row>
    <row r="44" ht="15.75" customHeight="1" s="38">
      <c r="A44" s="23"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4">
        <f>SUMPRODUCT(B44:U44*($B$16:$U$16=""))</f>
        <v/>
      </c>
      <c r="W44" s="20">
        <f>SUMPRODUCT($B44:$U44,$B$15:$U$15)</f>
        <v/>
      </c>
    </row>
    <row r="45" ht="15.75" customHeight="1" s="38">
      <c r="A45" s="23"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4">
        <f>SUMPRODUCT(B45:U45*($B$16:$U$16=""))</f>
        <v/>
      </c>
      <c r="W45" s="20">
        <f>SUMPRODUCT($B45:$U45,$B$15:$U$15)</f>
        <v/>
      </c>
    </row>
    <row r="46" ht="15.75" customHeight="1" s="38">
      <c r="A46" s="7" t="inlineStr">
        <is>
          <t>Total</t>
        </is>
      </c>
      <c r="V46" s="24">
        <f>SUM(V18:V45)</f>
        <v/>
      </c>
      <c r="W46" s="25">
        <f>SUM(W18:W45)</f>
        <v/>
      </c>
    </row>
    <row r="47" ht="15.75" customHeight="1" s="38"/>
    <row r="48" ht="15.75" customHeight="1" s="38">
      <c r="A48" s="21" t="inlineStr">
        <is>
          <t>GOALS — number scored</t>
        </is>
      </c>
      <c r="B48" s="22" t="inlineStr">
        <is>
          <t>GW1</t>
        </is>
      </c>
      <c r="C48" s="22" t="inlineStr">
        <is>
          <t>GW2</t>
        </is>
      </c>
      <c r="D48" s="22" t="inlineStr">
        <is>
          <t>GW3</t>
        </is>
      </c>
      <c r="E48" s="22" t="inlineStr">
        <is>
          <t>GW4</t>
        </is>
      </c>
      <c r="F48" s="22" t="inlineStr">
        <is>
          <t>GW5</t>
        </is>
      </c>
      <c r="G48" s="22" t="inlineStr">
        <is>
          <t>GW6</t>
        </is>
      </c>
      <c r="H48" s="22" t="inlineStr">
        <is>
          <t>GW7</t>
        </is>
      </c>
      <c r="I48" s="22" t="inlineStr">
        <is>
          <t>GW8</t>
        </is>
      </c>
      <c r="J48" s="22" t="inlineStr">
        <is>
          <t>GW9</t>
        </is>
      </c>
      <c r="K48" s="22" t="inlineStr">
        <is>
          <t>GW10</t>
        </is>
      </c>
      <c r="L48" s="22" t="inlineStr">
        <is>
          <t>GW11</t>
        </is>
      </c>
      <c r="M48" s="22" t="inlineStr">
        <is>
          <t>GW12</t>
        </is>
      </c>
      <c r="N48" s="22" t="inlineStr">
        <is>
          <t>GW13</t>
        </is>
      </c>
      <c r="O48" s="22" t="inlineStr">
        <is>
          <t>GW14</t>
        </is>
      </c>
      <c r="P48" s="22" t="inlineStr">
        <is>
          <t>GW15</t>
        </is>
      </c>
      <c r="Q48" s="22" t="inlineStr">
        <is>
          <t>GW16</t>
        </is>
      </c>
      <c r="R48" s="22" t="inlineStr">
        <is>
          <t>GW17</t>
        </is>
      </c>
      <c r="S48" s="22" t="inlineStr">
        <is>
          <t>GW18</t>
        </is>
      </c>
      <c r="T48" s="22" t="inlineStr">
        <is>
          <t>GW19</t>
        </is>
      </c>
      <c r="U48" s="22" t="inlineStr">
        <is>
          <t>GW20</t>
        </is>
      </c>
      <c r="V48" s="22" t="inlineStr">
        <is>
          <t>Goals</t>
        </is>
      </c>
    </row>
    <row r="49" ht="15.75" customHeight="1" s="38">
      <c r="A49" s="23">
        <f>IF($A18="","",$A18)</f>
        <v/>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4">
        <f>SUMPRODUCT(B49:U49*($B$16:$U$16=""))</f>
        <v/>
      </c>
    </row>
    <row r="50" ht="15.75" customHeight="1" s="38">
      <c r="A50" s="23">
        <f>IF($A19="","",$A19)</f>
        <v/>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4">
        <f>SUMPRODUCT(B50:U50*($B$16:$U$16=""))</f>
        <v/>
      </c>
    </row>
    <row r="51" ht="15.75" customHeight="1" s="38">
      <c r="A51" s="23">
        <f>IF($A20="","",$A20)</f>
        <v/>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4">
        <f>SUMPRODUCT(B51:U51*($B$16:$U$16=""))</f>
        <v/>
      </c>
    </row>
    <row r="52" ht="15.75" customHeight="1" s="38">
      <c r="A52" s="23">
        <f>IF($A21="","",$A21)</f>
        <v/>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4">
        <f>SUMPRODUCT(B52:U52*($B$16:$U$16=""))</f>
        <v/>
      </c>
    </row>
    <row r="53" ht="15.75" customHeight="1" s="38">
      <c r="A53" s="23">
        <f>IF($A22="","",$A22)</f>
        <v/>
      </c>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4">
        <f>SUMPRODUCT(B53:U53*($B$16:$U$16=""))</f>
        <v/>
      </c>
    </row>
    <row r="54" ht="15.75" customHeight="1" s="38">
      <c r="A54" s="23">
        <f>IF($A23="","",$A23)</f>
        <v/>
      </c>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4">
        <f>SUMPRODUCT(B54:U54*($B$16:$U$16=""))</f>
        <v/>
      </c>
    </row>
    <row r="55" ht="15.75" customHeight="1" s="38">
      <c r="A55" s="23">
        <f>IF($A24="","",$A24)</f>
        <v/>
      </c>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4">
        <f>SUMPRODUCT(B55:U55*($B$16:$U$16=""))</f>
        <v/>
      </c>
    </row>
    <row r="56" ht="15.75" customHeight="1" s="38">
      <c r="A56" s="23">
        <f>IF($A25="","",$A25)</f>
        <v/>
      </c>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4">
        <f>SUMPRODUCT(B56:U56*($B$16:$U$16=""))</f>
        <v/>
      </c>
    </row>
    <row r="57" ht="15.75" customHeight="1" s="38">
      <c r="A57" s="23">
        <f>IF($A26="","",$A26)</f>
        <v/>
      </c>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4">
        <f>SUMPRODUCT(B57:U57*($B$16:$U$16=""))</f>
        <v/>
      </c>
    </row>
    <row r="58" ht="15.75" customHeight="1" s="38">
      <c r="A58" s="23">
        <f>IF($A27="","",$A27)</f>
        <v/>
      </c>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4">
        <f>SUMPRODUCT(B58:U58*($B$16:$U$16=""))</f>
        <v/>
      </c>
    </row>
    <row r="59" ht="15.75" customHeight="1" s="38">
      <c r="A59" s="23">
        <f>IF($A28="","",$A28)</f>
        <v/>
      </c>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4">
        <f>SUMPRODUCT(B59:U59*($B$16:$U$16=""))</f>
        <v/>
      </c>
    </row>
    <row r="60" ht="15.75" customHeight="1" s="38">
      <c r="A60" s="23">
        <f>IF($A29="","",$A29)</f>
        <v/>
      </c>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4">
        <f>SUMPRODUCT(B60:U60*($B$16:$U$16=""))</f>
        <v/>
      </c>
    </row>
    <row r="61" ht="15.75" customHeight="1" s="38">
      <c r="A61" s="23">
        <f>IF($A30="","",$A30)</f>
        <v/>
      </c>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4">
        <f>SUMPRODUCT(B61:U61*($B$16:$U$16=""))</f>
        <v/>
      </c>
    </row>
    <row r="62" ht="15.75" customHeight="1" s="38">
      <c r="A62" s="23">
        <f>IF($A31="","",$A31)</f>
        <v/>
      </c>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4">
        <f>SUMPRODUCT(B62:U62*($B$16:$U$16=""))</f>
        <v/>
      </c>
    </row>
    <row r="63" ht="15.75" customHeight="1" s="38">
      <c r="A63" s="23">
        <f>IF($A32="","",$A32)</f>
        <v/>
      </c>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4">
        <f>SUMPRODUCT(B63:U63*($B$16:$U$16=""))</f>
        <v/>
      </c>
    </row>
    <row r="64" ht="15.75" customHeight="1" s="38">
      <c r="A64" s="23">
        <f>IF($A33="","",$A33)</f>
        <v/>
      </c>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4">
        <f>SUMPRODUCT(B64:U64*($B$16:$U$16=""))</f>
        <v/>
      </c>
    </row>
    <row r="65" ht="15.75" customHeight="1" s="38">
      <c r="A65" s="23">
        <f>IF($A34="","",$A34)</f>
        <v/>
      </c>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4">
        <f>SUMPRODUCT(B65:U65*($B$16:$U$16=""))</f>
        <v/>
      </c>
    </row>
    <row r="66" ht="15.75" customHeight="1" s="38">
      <c r="A66" s="23">
        <f>IF($A35="","",$A35)</f>
        <v/>
      </c>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4">
        <f>SUMPRODUCT(B66:U66*($B$16:$U$16=""))</f>
        <v/>
      </c>
    </row>
    <row r="67" ht="15.75" customHeight="1" s="38">
      <c r="A67" s="23">
        <f>IF($A36="","",$A36)</f>
        <v/>
      </c>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4">
        <f>SUMPRODUCT(B67:U67*($B$16:$U$16=""))</f>
        <v/>
      </c>
    </row>
    <row r="68" ht="15.75" customHeight="1" s="38">
      <c r="A68" s="23">
        <f>IF($A37="","",$A37)</f>
        <v/>
      </c>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4">
        <f>SUMPRODUCT(B68:U68*($B$16:$U$16=""))</f>
        <v/>
      </c>
    </row>
    <row r="69" ht="15.75" customHeight="1" s="38">
      <c r="A69" s="23">
        <f>IF($A38="","",$A38)</f>
        <v/>
      </c>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4">
        <f>SUMPRODUCT(B69:U69*($B$16:$U$16=""))</f>
        <v/>
      </c>
    </row>
    <row r="70" ht="15.75" customHeight="1" s="38">
      <c r="A70" s="23">
        <f>IF($A39="","",$A39)</f>
        <v/>
      </c>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4">
        <f>SUMPRODUCT(B70:U70*($B$16:$U$16=""))</f>
        <v/>
      </c>
    </row>
    <row r="71" ht="15.75" customHeight="1" s="38">
      <c r="A71" s="23">
        <f>IF($A40="","",$A40)</f>
        <v/>
      </c>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4">
        <f>SUMPRODUCT(B71:U71*($B$16:$U$16=""))</f>
        <v/>
      </c>
    </row>
    <row r="72" ht="15.75" customHeight="1" s="38">
      <c r="A72" s="23">
        <f>IF($A41="","",$A41)</f>
        <v/>
      </c>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4">
        <f>SUMPRODUCT(B72:U72*($B$16:$U$16=""))</f>
        <v/>
      </c>
    </row>
    <row r="73" ht="15.75" customHeight="1" s="38">
      <c r="A73" s="23">
        <f>IF($A42="","",$A42)</f>
        <v/>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4">
        <f>SUMPRODUCT(B73:U73*($B$16:$U$16=""))</f>
        <v/>
      </c>
    </row>
    <row r="74" ht="15.75" customHeight="1" s="38">
      <c r="A74" s="23">
        <f>IF($A43="","",$A43)</f>
        <v/>
      </c>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4">
        <f>SUMPRODUCT(B74:U74*($B$16:$U$16=""))</f>
        <v/>
      </c>
    </row>
    <row r="75" ht="15.75" customHeight="1" s="38">
      <c r="A75" s="23">
        <f>IF($A44="","",$A44)</f>
        <v/>
      </c>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4">
        <f>SUMPRODUCT(B75:U75*($B$16:$U$16=""))</f>
        <v/>
      </c>
    </row>
    <row r="76" ht="15.75" customHeight="1" s="38">
      <c r="A76" s="23">
        <f>IF($A45="","",$A45)</f>
        <v/>
      </c>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4">
        <f>SUMPRODUCT(B76:U76*($B$16:$U$16=""))</f>
        <v/>
      </c>
    </row>
    <row r="77" ht="15.75" customHeight="1" s="38">
      <c r="A77" s="7" t="inlineStr">
        <is>
          <t>Total</t>
        </is>
      </c>
      <c r="V77" s="24">
        <f>SUM(V49:V76)</f>
        <v/>
      </c>
    </row>
    <row r="78" ht="15.75" customHeight="1" s="38"/>
    <row r="79" ht="15.75" customHeight="1" s="38">
      <c r="A79" s="21" t="inlineStr">
        <is>
          <t>ASSISTS — number made</t>
        </is>
      </c>
      <c r="B79" s="22" t="inlineStr">
        <is>
          <t>GW1</t>
        </is>
      </c>
      <c r="C79" s="22" t="inlineStr">
        <is>
          <t>GW2</t>
        </is>
      </c>
      <c r="D79" s="22" t="inlineStr">
        <is>
          <t>GW3</t>
        </is>
      </c>
      <c r="E79" s="22" t="inlineStr">
        <is>
          <t>GW4</t>
        </is>
      </c>
      <c r="F79" s="22" t="inlineStr">
        <is>
          <t>GW5</t>
        </is>
      </c>
      <c r="G79" s="22" t="inlineStr">
        <is>
          <t>GW6</t>
        </is>
      </c>
      <c r="H79" s="22" t="inlineStr">
        <is>
          <t>GW7</t>
        </is>
      </c>
      <c r="I79" s="22" t="inlineStr">
        <is>
          <t>GW8</t>
        </is>
      </c>
      <c r="J79" s="22" t="inlineStr">
        <is>
          <t>GW9</t>
        </is>
      </c>
      <c r="K79" s="22" t="inlineStr">
        <is>
          <t>GW10</t>
        </is>
      </c>
      <c r="L79" s="22" t="inlineStr">
        <is>
          <t>GW11</t>
        </is>
      </c>
      <c r="M79" s="22" t="inlineStr">
        <is>
          <t>GW12</t>
        </is>
      </c>
      <c r="N79" s="22" t="inlineStr">
        <is>
          <t>GW13</t>
        </is>
      </c>
      <c r="O79" s="22" t="inlineStr">
        <is>
          <t>GW14</t>
        </is>
      </c>
      <c r="P79" s="22" t="inlineStr">
        <is>
          <t>GW15</t>
        </is>
      </c>
      <c r="Q79" s="22" t="inlineStr">
        <is>
          <t>GW16</t>
        </is>
      </c>
      <c r="R79" s="22" t="inlineStr">
        <is>
          <t>GW17</t>
        </is>
      </c>
      <c r="S79" s="22" t="inlineStr">
        <is>
          <t>GW18</t>
        </is>
      </c>
      <c r="T79" s="22" t="inlineStr">
        <is>
          <t>GW19</t>
        </is>
      </c>
      <c r="U79" s="22" t="inlineStr">
        <is>
          <t>GW20</t>
        </is>
      </c>
      <c r="V79" s="22" t="inlineStr">
        <is>
          <t>Assists</t>
        </is>
      </c>
    </row>
    <row r="80" ht="15.75" customHeight="1" s="38">
      <c r="A80" s="23">
        <f>IF($A18="","",$A18)</f>
        <v/>
      </c>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4">
        <f>SUMPRODUCT(B80:U80*($B$16:$U$16=""))</f>
        <v/>
      </c>
    </row>
    <row r="81" ht="15.75" customHeight="1" s="38">
      <c r="A81" s="23">
        <f>IF($A19="","",$A19)</f>
        <v/>
      </c>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4">
        <f>SUMPRODUCT(B81:U81*($B$16:$U$16=""))</f>
        <v/>
      </c>
    </row>
    <row r="82" ht="15.75" customHeight="1" s="38">
      <c r="A82" s="23">
        <f>IF($A20="","",$A20)</f>
        <v/>
      </c>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4">
        <f>SUMPRODUCT(B82:U82*($B$16:$U$16=""))</f>
        <v/>
      </c>
    </row>
    <row r="83" ht="15.75" customHeight="1" s="38">
      <c r="A83" s="23">
        <f>IF($A21="","",$A21)</f>
        <v/>
      </c>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4">
        <f>SUMPRODUCT(B83:U83*($B$16:$U$16=""))</f>
        <v/>
      </c>
    </row>
    <row r="84" ht="15.75" customHeight="1" s="38">
      <c r="A84" s="23">
        <f>IF($A22="","",$A22)</f>
        <v/>
      </c>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4">
        <f>SUMPRODUCT(B84:U84*($B$16:$U$16=""))</f>
        <v/>
      </c>
    </row>
    <row r="85" ht="15.75" customHeight="1" s="38">
      <c r="A85" s="23">
        <f>IF($A23="","",$A23)</f>
        <v/>
      </c>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4">
        <f>SUMPRODUCT(B85:U85*($B$16:$U$16=""))</f>
        <v/>
      </c>
    </row>
    <row r="86" ht="15.75" customHeight="1" s="38">
      <c r="A86" s="23">
        <f>IF($A24="","",$A24)</f>
        <v/>
      </c>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4">
        <f>SUMPRODUCT(B86:U86*($B$16:$U$16=""))</f>
        <v/>
      </c>
    </row>
    <row r="87" ht="15.75" customHeight="1" s="38">
      <c r="A87" s="23">
        <f>IF($A25="","",$A25)</f>
        <v/>
      </c>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4">
        <f>SUMPRODUCT(B87:U87*($B$16:$U$16=""))</f>
        <v/>
      </c>
    </row>
    <row r="88" ht="15.75" customHeight="1" s="38">
      <c r="A88" s="23">
        <f>IF($A26="","",$A26)</f>
        <v/>
      </c>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4">
        <f>SUMPRODUCT(B88:U88*($B$16:$U$16=""))</f>
        <v/>
      </c>
    </row>
    <row r="89" ht="15.75" customHeight="1" s="38">
      <c r="A89" s="23">
        <f>IF($A27="","",$A27)</f>
        <v/>
      </c>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4">
        <f>SUMPRODUCT(B89:U89*($B$16:$U$16=""))</f>
        <v/>
      </c>
    </row>
    <row r="90" ht="15.75" customHeight="1" s="38">
      <c r="A90" s="23">
        <f>IF($A28="","",$A28)</f>
        <v/>
      </c>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4">
        <f>SUMPRODUCT(B90:U90*($B$16:$U$16=""))</f>
        <v/>
      </c>
    </row>
    <row r="91" ht="15.75" customHeight="1" s="38">
      <c r="A91" s="23">
        <f>IF($A29="","",$A29)</f>
        <v/>
      </c>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4">
        <f>SUMPRODUCT(B91:U91*($B$16:$U$16=""))</f>
        <v/>
      </c>
    </row>
    <row r="92" ht="15.75" customHeight="1" s="38">
      <c r="A92" s="23">
        <f>IF($A30="","",$A30)</f>
        <v/>
      </c>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4">
        <f>SUMPRODUCT(B92:U92*($B$16:$U$16=""))</f>
        <v/>
      </c>
    </row>
    <row r="93" ht="15.75" customHeight="1" s="38">
      <c r="A93" s="23">
        <f>IF($A31="","",$A31)</f>
        <v/>
      </c>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4">
        <f>SUMPRODUCT(B93:U93*($B$16:$U$16=""))</f>
        <v/>
      </c>
    </row>
    <row r="94" ht="15.75" customHeight="1" s="38">
      <c r="A94" s="23">
        <f>IF($A32="","",$A32)</f>
        <v/>
      </c>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4">
        <f>SUMPRODUCT(B94:U94*($B$16:$U$16=""))</f>
        <v/>
      </c>
    </row>
    <row r="95" ht="15.75" customHeight="1" s="38">
      <c r="A95" s="23">
        <f>IF($A33="","",$A33)</f>
        <v/>
      </c>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4">
        <f>SUMPRODUCT(B95:U95*($B$16:$U$16=""))</f>
        <v/>
      </c>
    </row>
    <row r="96" ht="15.75" customHeight="1" s="38">
      <c r="A96" s="23">
        <f>IF($A34="","",$A34)</f>
        <v/>
      </c>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4">
        <f>SUMPRODUCT(B96:U96*($B$16:$U$16=""))</f>
        <v/>
      </c>
    </row>
    <row r="97" ht="15.75" customHeight="1" s="38">
      <c r="A97" s="23">
        <f>IF($A35="","",$A35)</f>
        <v/>
      </c>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4">
        <f>SUMPRODUCT(B97:U97*($B$16:$U$16=""))</f>
        <v/>
      </c>
    </row>
    <row r="98" ht="15.75" customHeight="1" s="38">
      <c r="A98" s="23">
        <f>IF($A36="","",$A36)</f>
        <v/>
      </c>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4">
        <f>SUMPRODUCT(B98:U98*($B$16:$U$16=""))</f>
        <v/>
      </c>
    </row>
    <row r="99" ht="15.75" customHeight="1" s="38">
      <c r="A99" s="23">
        <f>IF($A37="","",$A37)</f>
        <v/>
      </c>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4">
        <f>SUMPRODUCT(B99:U99*($B$16:$U$16=""))</f>
        <v/>
      </c>
    </row>
    <row r="100" ht="15.75" customHeight="1" s="38">
      <c r="A100" s="23">
        <f>IF($A38="","",$A38)</f>
        <v/>
      </c>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4">
        <f>SUMPRODUCT(B100:U100*($B$16:$U$16=""))</f>
        <v/>
      </c>
    </row>
    <row r="101" ht="15.75" customHeight="1" s="38">
      <c r="A101" s="23">
        <f>IF($A39="","",$A39)</f>
        <v/>
      </c>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4">
        <f>SUMPRODUCT(B101:U101*($B$16:$U$16=""))</f>
        <v/>
      </c>
    </row>
    <row r="102" ht="15.75" customHeight="1" s="38">
      <c r="A102" s="23">
        <f>IF($A40="","",$A40)</f>
        <v/>
      </c>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4">
        <f>SUMPRODUCT(B102:U102*($B$16:$U$16=""))</f>
        <v/>
      </c>
    </row>
    <row r="103" ht="15.75" customHeight="1" s="38">
      <c r="A103" s="23">
        <f>IF($A41="","",$A41)</f>
        <v/>
      </c>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4">
        <f>SUMPRODUCT(B103:U103*($B$16:$U$16=""))</f>
        <v/>
      </c>
    </row>
    <row r="104" ht="15.75" customHeight="1" s="38">
      <c r="A104" s="23">
        <f>IF($A42="","",$A42)</f>
        <v/>
      </c>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4">
        <f>SUMPRODUCT(B104:U104*($B$16:$U$16=""))</f>
        <v/>
      </c>
    </row>
    <row r="105" ht="15.75" customHeight="1" s="38">
      <c r="A105" s="23">
        <f>IF($A43="","",$A43)</f>
        <v/>
      </c>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4">
        <f>SUMPRODUCT(B105:U105*($B$16:$U$16=""))</f>
        <v/>
      </c>
    </row>
    <row r="106" ht="15.75" customHeight="1" s="38">
      <c r="A106" s="23">
        <f>IF($A44="","",$A44)</f>
        <v/>
      </c>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4">
        <f>SUMPRODUCT(B106:U106*($B$16:$U$16=""))</f>
        <v/>
      </c>
    </row>
    <row r="107" ht="15.75" customHeight="1" s="38">
      <c r="A107" s="23">
        <f>IF($A45="","",$A45)</f>
        <v/>
      </c>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4">
        <f>SUMPRODUCT(B107:U107*($B$16:$U$16=""))</f>
        <v/>
      </c>
    </row>
    <row r="108" ht="15.75" customHeight="1" s="38">
      <c r="A108" s="7" t="inlineStr">
        <is>
          <t>Total</t>
        </is>
      </c>
      <c r="V108" s="24">
        <f>SUM(V80:V107)</f>
        <v/>
      </c>
    </row>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Y3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6" customWidth="1" style="38" min="1" max="1"/>
    <col width="12" customWidth="1" style="38" min="2" max="25"/>
    <col width="8.710000000000001" customWidth="1" style="38" min="26" max="26"/>
  </cols>
  <sheetData>
    <row r="1">
      <c r="A1" s="4" t="inlineStr">
        <is>
          <t>ALL-TIME RECORDS (updates automatically from the season tabs)</t>
        </is>
      </c>
      <c r="B1" s="28" t="inlineStr">
        <is>
          <t>S1</t>
        </is>
      </c>
      <c r="C1" s="5" t="n"/>
      <c r="D1" s="28" t="inlineStr">
        <is>
          <t>S2</t>
        </is>
      </c>
      <c r="E1" s="5" t="n"/>
      <c r="F1" s="28" t="inlineStr">
        <is>
          <t>S3</t>
        </is>
      </c>
      <c r="G1" s="5" t="n"/>
      <c r="H1" s="28" t="inlineStr">
        <is>
          <t>S4</t>
        </is>
      </c>
      <c r="I1" s="5" t="n"/>
      <c r="J1" s="28" t="inlineStr">
        <is>
          <t>S5</t>
        </is>
      </c>
      <c r="K1" s="5" t="n"/>
      <c r="L1" s="28" t="inlineStr">
        <is>
          <t>S6</t>
        </is>
      </c>
      <c r="M1" s="5" t="n"/>
      <c r="N1" s="28" t="inlineStr">
        <is>
          <t>S7</t>
        </is>
      </c>
      <c r="O1" s="5" t="n"/>
      <c r="P1" s="28" t="inlineStr">
        <is>
          <t>S8</t>
        </is>
      </c>
      <c r="Q1" s="5" t="n"/>
      <c r="R1" s="28" t="inlineStr">
        <is>
          <t>S9</t>
        </is>
      </c>
      <c r="S1" s="5" t="n"/>
      <c r="T1" s="28" t="inlineStr">
        <is>
          <t>S10</t>
        </is>
      </c>
      <c r="U1" s="5" t="n"/>
      <c r="V1" s="29" t="inlineStr">
        <is>
          <t>ALL-TIME</t>
        </is>
      </c>
      <c r="W1" s="5" t="n"/>
    </row>
    <row r="2">
      <c r="A2" s="30" t="inlineStr">
        <is>
          <t>Player</t>
        </is>
      </c>
      <c r="B2" s="6" t="inlineStr">
        <is>
          <t>Apps</t>
        </is>
      </c>
      <c r="C2" s="6" t="inlineStr">
        <is>
          <t>Goals</t>
        </is>
      </c>
      <c r="D2" s="6" t="inlineStr">
        <is>
          <t>Apps</t>
        </is>
      </c>
      <c r="E2" s="6" t="inlineStr">
        <is>
          <t>Goals</t>
        </is>
      </c>
      <c r="F2" s="6" t="inlineStr">
        <is>
          <t>Apps</t>
        </is>
      </c>
      <c r="G2" s="6" t="inlineStr">
        <is>
          <t>Goals</t>
        </is>
      </c>
      <c r="H2" s="6" t="inlineStr">
        <is>
          <t>Apps</t>
        </is>
      </c>
      <c r="I2" s="6" t="inlineStr">
        <is>
          <t>Goals</t>
        </is>
      </c>
      <c r="J2" s="6" t="inlineStr">
        <is>
          <t>Apps</t>
        </is>
      </c>
      <c r="K2" s="6" t="inlineStr">
        <is>
          <t>Goals</t>
        </is>
      </c>
      <c r="L2" s="6" t="inlineStr">
        <is>
          <t>Apps</t>
        </is>
      </c>
      <c r="M2" s="6" t="inlineStr">
        <is>
          <t>Goals</t>
        </is>
      </c>
      <c r="N2" s="6" t="inlineStr">
        <is>
          <t>Apps</t>
        </is>
      </c>
      <c r="O2" s="6" t="inlineStr">
        <is>
          <t>Goals</t>
        </is>
      </c>
      <c r="P2" s="6" t="inlineStr">
        <is>
          <t>Apps</t>
        </is>
      </c>
      <c r="Q2" s="6" t="inlineStr">
        <is>
          <t>Goals</t>
        </is>
      </c>
      <c r="R2" s="6" t="inlineStr">
        <is>
          <t>Apps</t>
        </is>
      </c>
      <c r="S2" s="6" t="inlineStr">
        <is>
          <t>Goals</t>
        </is>
      </c>
      <c r="T2" s="6" t="inlineStr">
        <is>
          <t>Apps</t>
        </is>
      </c>
      <c r="U2" s="6" t="inlineStr">
        <is>
          <t>Goals</t>
        </is>
      </c>
      <c r="V2" s="6" t="inlineStr">
        <is>
          <t>Apps</t>
        </is>
      </c>
      <c r="W2" s="6" t="inlineStr">
        <is>
          <t>Goals</t>
        </is>
      </c>
      <c r="X2" s="6" t="inlineStr">
        <is>
          <t>Goals/game</t>
        </is>
      </c>
      <c r="Y2" s="6" t="inlineStr">
        <is>
          <t>Assists</t>
        </is>
      </c>
    </row>
    <row r="3">
      <c r="A3" s="23" t="inlineStr">
        <is>
          <t>Ahmed</t>
        </is>
      </c>
      <c r="B3" s="27">
        <f>IFERROR(INDEX(INDIRECT("'"&amp;B$1&amp;"'!$V$18:$V$45"),MATCH($A3,INDIRECT("'"&amp;B$1&amp;"'!$A$18:$A$45"),0)),0)</f>
        <v/>
      </c>
      <c r="C3" s="27">
        <f>IFERROR(INDEX(INDIRECT("'"&amp;B$1&amp;"'!$V$49:$V$76"),MATCH($A3,INDIRECT("'"&amp;B$1&amp;"'!$A$49:$A$76"),0)),0)</f>
        <v/>
      </c>
      <c r="D3" s="27">
        <f>IFERROR(INDEX(INDIRECT("'"&amp;D$1&amp;"'!$V$18:$V$45"),MATCH($A3,INDIRECT("'"&amp;D$1&amp;"'!$A$18:$A$45"),0)),0)</f>
        <v/>
      </c>
      <c r="E3" s="27">
        <f>IFERROR(INDEX(INDIRECT("'"&amp;D$1&amp;"'!$V$49:$V$76"),MATCH($A3,INDIRECT("'"&amp;D$1&amp;"'!$A$49:$A$76"),0)),0)</f>
        <v/>
      </c>
      <c r="F3" s="27">
        <f>IFERROR(INDEX(INDIRECT("'"&amp;F$1&amp;"'!$V$18:$V$45"),MATCH($A3,INDIRECT("'"&amp;F$1&amp;"'!$A$18:$A$45"),0)),0)</f>
        <v/>
      </c>
      <c r="G3" s="27">
        <f>IFERROR(INDEX(INDIRECT("'"&amp;F$1&amp;"'!$V$49:$V$76"),MATCH($A3,INDIRECT("'"&amp;F$1&amp;"'!$A$49:$A$76"),0)),0)</f>
        <v/>
      </c>
      <c r="H3" s="27">
        <f>IFERROR(INDEX(INDIRECT("'"&amp;H$1&amp;"'!$V$18:$V$45"),MATCH($A3,INDIRECT("'"&amp;H$1&amp;"'!$A$18:$A$45"),0)),0)</f>
        <v/>
      </c>
      <c r="I3" s="27">
        <f>IFERROR(INDEX(INDIRECT("'"&amp;H$1&amp;"'!$V$49:$V$76"),MATCH($A3,INDIRECT("'"&amp;H$1&amp;"'!$A$49:$A$76"),0)),0)</f>
        <v/>
      </c>
      <c r="J3" s="27">
        <f>IFERROR(INDEX(INDIRECT("'"&amp;J$1&amp;"'!$V$18:$V$45"),MATCH($A3,INDIRECT("'"&amp;J$1&amp;"'!$A$18:$A$45"),0)),0)</f>
        <v/>
      </c>
      <c r="K3" s="27">
        <f>IFERROR(INDEX(INDIRECT("'"&amp;J$1&amp;"'!$V$49:$V$76"),MATCH($A3,INDIRECT("'"&amp;J$1&amp;"'!$A$49:$A$76"),0)),0)</f>
        <v/>
      </c>
      <c r="L3" s="27">
        <f>IFERROR(INDEX(INDIRECT("'"&amp;L$1&amp;"'!$V$18:$V$45"),MATCH($A3,INDIRECT("'"&amp;L$1&amp;"'!$A$18:$A$45"),0)),0)</f>
        <v/>
      </c>
      <c r="M3" s="27">
        <f>IFERROR(INDEX(INDIRECT("'"&amp;L$1&amp;"'!$V$49:$V$76"),MATCH($A3,INDIRECT("'"&amp;L$1&amp;"'!$A$49:$A$76"),0)),0)</f>
        <v/>
      </c>
      <c r="N3" s="27">
        <f>IFERROR(INDEX(INDIRECT("'"&amp;N$1&amp;"'!$V$18:$V$45"),MATCH($A3,INDIRECT("'"&amp;N$1&amp;"'!$A$18:$A$45"),0)),0)</f>
        <v/>
      </c>
      <c r="O3" s="27">
        <f>IFERROR(INDEX(INDIRECT("'"&amp;N$1&amp;"'!$V$49:$V$76"),MATCH($A3,INDIRECT("'"&amp;N$1&amp;"'!$A$49:$A$76"),0)),0)</f>
        <v/>
      </c>
      <c r="P3" s="27">
        <f>IFERROR(INDEX(INDIRECT("'"&amp;P$1&amp;"'!$V$18:$V$45"),MATCH($A3,INDIRECT("'"&amp;P$1&amp;"'!$A$18:$A$45"),0)),0)</f>
        <v/>
      </c>
      <c r="Q3" s="27">
        <f>IFERROR(INDEX(INDIRECT("'"&amp;P$1&amp;"'!$V$49:$V$76"),MATCH($A3,INDIRECT("'"&amp;P$1&amp;"'!$A$49:$A$76"),0)),0)</f>
        <v/>
      </c>
      <c r="R3" s="27">
        <f>IFERROR(INDEX(INDIRECT("'"&amp;R$1&amp;"'!$V$18:$V$45"),MATCH($A3,INDIRECT("'"&amp;R$1&amp;"'!$A$18:$A$45"),0)),0)</f>
        <v/>
      </c>
      <c r="S3" s="27">
        <f>IFERROR(INDEX(INDIRECT("'"&amp;R$1&amp;"'!$V$49:$V$76"),MATCH($A3,INDIRECT("'"&amp;R$1&amp;"'!$A$49:$A$76"),0)),0)</f>
        <v/>
      </c>
      <c r="T3" s="27">
        <f>IFERROR(INDEX(INDIRECT("'"&amp;T$1&amp;"'!$V$18:$V$45"),MATCH($A3,INDIRECT("'"&amp;T$1&amp;"'!$A$18:$A$45"),0)),0)</f>
        <v/>
      </c>
      <c r="U3" s="27">
        <f>IFERROR(INDEX(INDIRECT("'"&amp;T$1&amp;"'!$V$49:$V$76"),MATCH($A3,INDIRECT("'"&amp;T$1&amp;"'!$A$49:$A$76"),0)),0)</f>
        <v/>
      </c>
      <c r="V3" s="24">
        <f>B3+D3+F3+H3+J3+L3+N3+P3+R3+T3</f>
        <v/>
      </c>
      <c r="W3" s="24">
        <f>C3+E3+G3+I3+K3+M3+O3+Q3+S3+U3</f>
        <v/>
      </c>
      <c r="X3" s="14">
        <f>IF(V3=0,"—",ROUND(W3/V3,2))</f>
        <v/>
      </c>
      <c r="Y3" s="14">
        <f>IFERROR(INDEX(INDIRECT("'"&amp;B$1&amp;"'!$V$80:$V$107"),MATCH($A3,INDIRECT("'"&amp;B$1&amp;"'!$A$80:$A$107"),0)),0)+IFERROR(INDEX(INDIRECT("'"&amp;D$1&amp;"'!$V$80:$V$107"),MATCH($A3,INDIRECT("'"&amp;D$1&amp;"'!$A$80:$A$107"),0)),0)+IFERROR(INDEX(INDIRECT("'"&amp;F$1&amp;"'!$V$80:$V$107"),MATCH($A3,INDIRECT("'"&amp;F$1&amp;"'!$A$80:$A$107"),0)),0)+IFERROR(INDEX(INDIRECT("'"&amp;H$1&amp;"'!$V$80:$V$107"),MATCH($A3,INDIRECT("'"&amp;H$1&amp;"'!$A$80:$A$107"),0)),0)+IFERROR(INDEX(INDIRECT("'"&amp;J$1&amp;"'!$V$80:$V$107"),MATCH($A3,INDIRECT("'"&amp;J$1&amp;"'!$A$80:$A$107"),0)),0)+IFERROR(INDEX(INDIRECT("'"&amp;L$1&amp;"'!$V$80:$V$107"),MATCH($A3,INDIRECT("'"&amp;L$1&amp;"'!$A$80:$A$107"),0)),0)+IFERROR(INDEX(INDIRECT("'"&amp;N$1&amp;"'!$V$80:$V$107"),MATCH($A3,INDIRECT("'"&amp;N$1&amp;"'!$A$80:$A$107"),0)),0)+IFERROR(INDEX(INDIRECT("'"&amp;P$1&amp;"'!$V$80:$V$107"),MATCH($A3,INDIRECT("'"&amp;P$1&amp;"'!$A$80:$A$107"),0)),0)+IFERROR(INDEX(INDIRECT("'"&amp;R$1&amp;"'!$V$80:$V$107"),MATCH($A3,INDIRECT("'"&amp;R$1&amp;"'!$A$80:$A$107"),0)),0)+IFERROR(INDEX(INDIRECT("'"&amp;T$1&amp;"'!$V$80:$V$107"),MATCH($A3,INDIRECT("'"&amp;T$1&amp;"'!$A$80:$A$107"),0)),0)</f>
        <v/>
      </c>
    </row>
    <row r="4">
      <c r="A4" s="23" t="inlineStr">
        <is>
          <t>Alex Ruben</t>
        </is>
      </c>
      <c r="B4" s="27">
        <f>IFERROR(INDEX(INDIRECT("'"&amp;B$1&amp;"'!$V$18:$V$45"),MATCH($A4,INDIRECT("'"&amp;B$1&amp;"'!$A$18:$A$45"),0)),0)</f>
        <v/>
      </c>
      <c r="C4" s="27">
        <f>IFERROR(INDEX(INDIRECT("'"&amp;B$1&amp;"'!$V$49:$V$76"),MATCH($A4,INDIRECT("'"&amp;B$1&amp;"'!$A$49:$A$76"),0)),0)</f>
        <v/>
      </c>
      <c r="D4" s="27">
        <f>IFERROR(INDEX(INDIRECT("'"&amp;D$1&amp;"'!$V$18:$V$45"),MATCH($A4,INDIRECT("'"&amp;D$1&amp;"'!$A$18:$A$45"),0)),0)</f>
        <v/>
      </c>
      <c r="E4" s="27">
        <f>IFERROR(INDEX(INDIRECT("'"&amp;D$1&amp;"'!$V$49:$V$76"),MATCH($A4,INDIRECT("'"&amp;D$1&amp;"'!$A$49:$A$76"),0)),0)</f>
        <v/>
      </c>
      <c r="F4" s="27">
        <f>IFERROR(INDEX(INDIRECT("'"&amp;F$1&amp;"'!$V$18:$V$45"),MATCH($A4,INDIRECT("'"&amp;F$1&amp;"'!$A$18:$A$45"),0)),0)</f>
        <v/>
      </c>
      <c r="G4" s="27">
        <f>IFERROR(INDEX(INDIRECT("'"&amp;F$1&amp;"'!$V$49:$V$76"),MATCH($A4,INDIRECT("'"&amp;F$1&amp;"'!$A$49:$A$76"),0)),0)</f>
        <v/>
      </c>
      <c r="H4" s="27">
        <f>IFERROR(INDEX(INDIRECT("'"&amp;H$1&amp;"'!$V$18:$V$45"),MATCH($A4,INDIRECT("'"&amp;H$1&amp;"'!$A$18:$A$45"),0)),0)</f>
        <v/>
      </c>
      <c r="I4" s="27">
        <f>IFERROR(INDEX(INDIRECT("'"&amp;H$1&amp;"'!$V$49:$V$76"),MATCH($A4,INDIRECT("'"&amp;H$1&amp;"'!$A$49:$A$76"),0)),0)</f>
        <v/>
      </c>
      <c r="J4" s="27">
        <f>IFERROR(INDEX(INDIRECT("'"&amp;J$1&amp;"'!$V$18:$V$45"),MATCH($A4,INDIRECT("'"&amp;J$1&amp;"'!$A$18:$A$45"),0)),0)</f>
        <v/>
      </c>
      <c r="K4" s="27">
        <f>IFERROR(INDEX(INDIRECT("'"&amp;J$1&amp;"'!$V$49:$V$76"),MATCH($A4,INDIRECT("'"&amp;J$1&amp;"'!$A$49:$A$76"),0)),0)</f>
        <v/>
      </c>
      <c r="L4" s="27">
        <f>IFERROR(INDEX(INDIRECT("'"&amp;L$1&amp;"'!$V$18:$V$45"),MATCH($A4,INDIRECT("'"&amp;L$1&amp;"'!$A$18:$A$45"),0)),0)</f>
        <v/>
      </c>
      <c r="M4" s="27">
        <f>IFERROR(INDEX(INDIRECT("'"&amp;L$1&amp;"'!$V$49:$V$76"),MATCH($A4,INDIRECT("'"&amp;L$1&amp;"'!$A$49:$A$76"),0)),0)</f>
        <v/>
      </c>
      <c r="N4" s="27">
        <f>IFERROR(INDEX(INDIRECT("'"&amp;N$1&amp;"'!$V$18:$V$45"),MATCH($A4,INDIRECT("'"&amp;N$1&amp;"'!$A$18:$A$45"),0)),0)</f>
        <v/>
      </c>
      <c r="O4" s="27">
        <f>IFERROR(INDEX(INDIRECT("'"&amp;N$1&amp;"'!$V$49:$V$76"),MATCH($A4,INDIRECT("'"&amp;N$1&amp;"'!$A$49:$A$76"),0)),0)</f>
        <v/>
      </c>
      <c r="P4" s="27">
        <f>IFERROR(INDEX(INDIRECT("'"&amp;P$1&amp;"'!$V$18:$V$45"),MATCH($A4,INDIRECT("'"&amp;P$1&amp;"'!$A$18:$A$45"),0)),0)</f>
        <v/>
      </c>
      <c r="Q4" s="27">
        <f>IFERROR(INDEX(INDIRECT("'"&amp;P$1&amp;"'!$V$49:$V$76"),MATCH($A4,INDIRECT("'"&amp;P$1&amp;"'!$A$49:$A$76"),0)),0)</f>
        <v/>
      </c>
      <c r="R4" s="27">
        <f>IFERROR(INDEX(INDIRECT("'"&amp;R$1&amp;"'!$V$18:$V$45"),MATCH($A4,INDIRECT("'"&amp;R$1&amp;"'!$A$18:$A$45"),0)),0)</f>
        <v/>
      </c>
      <c r="S4" s="27">
        <f>IFERROR(INDEX(INDIRECT("'"&amp;R$1&amp;"'!$V$49:$V$76"),MATCH($A4,INDIRECT("'"&amp;R$1&amp;"'!$A$49:$A$76"),0)),0)</f>
        <v/>
      </c>
      <c r="T4" s="27">
        <f>IFERROR(INDEX(INDIRECT("'"&amp;T$1&amp;"'!$V$18:$V$45"),MATCH($A4,INDIRECT("'"&amp;T$1&amp;"'!$A$18:$A$45"),0)),0)</f>
        <v/>
      </c>
      <c r="U4" s="27">
        <f>IFERROR(INDEX(INDIRECT("'"&amp;T$1&amp;"'!$V$49:$V$76"),MATCH($A4,INDIRECT("'"&amp;T$1&amp;"'!$A$49:$A$76"),0)),0)</f>
        <v/>
      </c>
      <c r="V4" s="24">
        <f>B4+D4+F4+H4+J4+L4+N4+P4+R4+T4</f>
        <v/>
      </c>
      <c r="W4" s="24">
        <f>C4+E4+G4+I4+K4+M4+O4+Q4+S4+U4</f>
        <v/>
      </c>
      <c r="X4" s="14">
        <f>IF(V4=0,"—",ROUND(W4/V4,2))</f>
        <v/>
      </c>
      <c r="Y4" s="14">
        <f>IFERROR(INDEX(INDIRECT("'"&amp;B$1&amp;"'!$V$80:$V$107"),MATCH($A4,INDIRECT("'"&amp;B$1&amp;"'!$A$80:$A$107"),0)),0)+IFERROR(INDEX(INDIRECT("'"&amp;D$1&amp;"'!$V$80:$V$107"),MATCH($A4,INDIRECT("'"&amp;D$1&amp;"'!$A$80:$A$107"),0)),0)+IFERROR(INDEX(INDIRECT("'"&amp;F$1&amp;"'!$V$80:$V$107"),MATCH($A4,INDIRECT("'"&amp;F$1&amp;"'!$A$80:$A$107"),0)),0)+IFERROR(INDEX(INDIRECT("'"&amp;H$1&amp;"'!$V$80:$V$107"),MATCH($A4,INDIRECT("'"&amp;H$1&amp;"'!$A$80:$A$107"),0)),0)+IFERROR(INDEX(INDIRECT("'"&amp;J$1&amp;"'!$V$80:$V$107"),MATCH($A4,INDIRECT("'"&amp;J$1&amp;"'!$A$80:$A$107"),0)),0)+IFERROR(INDEX(INDIRECT("'"&amp;L$1&amp;"'!$V$80:$V$107"),MATCH($A4,INDIRECT("'"&amp;L$1&amp;"'!$A$80:$A$107"),0)),0)+IFERROR(INDEX(INDIRECT("'"&amp;N$1&amp;"'!$V$80:$V$107"),MATCH($A4,INDIRECT("'"&amp;N$1&amp;"'!$A$80:$A$107"),0)),0)+IFERROR(INDEX(INDIRECT("'"&amp;P$1&amp;"'!$V$80:$V$107"),MATCH($A4,INDIRECT("'"&amp;P$1&amp;"'!$A$80:$A$107"),0)),0)+IFERROR(INDEX(INDIRECT("'"&amp;R$1&amp;"'!$V$80:$V$107"),MATCH($A4,INDIRECT("'"&amp;R$1&amp;"'!$A$80:$A$107"),0)),0)+IFERROR(INDEX(INDIRECT("'"&amp;T$1&amp;"'!$V$80:$V$107"),MATCH($A4,INDIRECT("'"&amp;T$1&amp;"'!$A$80:$A$107"),0)),0)</f>
        <v/>
      </c>
    </row>
    <row r="5">
      <c r="A5" s="23" t="inlineStr">
        <is>
          <t>Andy Cowan</t>
        </is>
      </c>
      <c r="B5" s="27">
        <f>IFERROR(INDEX(INDIRECT("'"&amp;B$1&amp;"'!$V$18:$V$45"),MATCH($A5,INDIRECT("'"&amp;B$1&amp;"'!$A$18:$A$45"),0)),0)</f>
        <v/>
      </c>
      <c r="C5" s="27">
        <f>IFERROR(INDEX(INDIRECT("'"&amp;B$1&amp;"'!$V$49:$V$76"),MATCH($A5,INDIRECT("'"&amp;B$1&amp;"'!$A$49:$A$76"),0)),0)</f>
        <v/>
      </c>
      <c r="D5" s="27">
        <f>IFERROR(INDEX(INDIRECT("'"&amp;D$1&amp;"'!$V$18:$V$45"),MATCH($A5,INDIRECT("'"&amp;D$1&amp;"'!$A$18:$A$45"),0)),0)</f>
        <v/>
      </c>
      <c r="E5" s="27">
        <f>IFERROR(INDEX(INDIRECT("'"&amp;D$1&amp;"'!$V$49:$V$76"),MATCH($A5,INDIRECT("'"&amp;D$1&amp;"'!$A$49:$A$76"),0)),0)</f>
        <v/>
      </c>
      <c r="F5" s="27">
        <f>IFERROR(INDEX(INDIRECT("'"&amp;F$1&amp;"'!$V$18:$V$45"),MATCH($A5,INDIRECT("'"&amp;F$1&amp;"'!$A$18:$A$45"),0)),0)</f>
        <v/>
      </c>
      <c r="G5" s="27">
        <f>IFERROR(INDEX(INDIRECT("'"&amp;F$1&amp;"'!$V$49:$V$76"),MATCH($A5,INDIRECT("'"&amp;F$1&amp;"'!$A$49:$A$76"),0)),0)</f>
        <v/>
      </c>
      <c r="H5" s="27">
        <f>IFERROR(INDEX(INDIRECT("'"&amp;H$1&amp;"'!$V$18:$V$45"),MATCH($A5,INDIRECT("'"&amp;H$1&amp;"'!$A$18:$A$45"),0)),0)</f>
        <v/>
      </c>
      <c r="I5" s="27">
        <f>IFERROR(INDEX(INDIRECT("'"&amp;H$1&amp;"'!$V$49:$V$76"),MATCH($A5,INDIRECT("'"&amp;H$1&amp;"'!$A$49:$A$76"),0)),0)</f>
        <v/>
      </c>
      <c r="J5" s="27">
        <f>IFERROR(INDEX(INDIRECT("'"&amp;J$1&amp;"'!$V$18:$V$45"),MATCH($A5,INDIRECT("'"&amp;J$1&amp;"'!$A$18:$A$45"),0)),0)</f>
        <v/>
      </c>
      <c r="K5" s="27">
        <f>IFERROR(INDEX(INDIRECT("'"&amp;J$1&amp;"'!$V$49:$V$76"),MATCH($A5,INDIRECT("'"&amp;J$1&amp;"'!$A$49:$A$76"),0)),0)</f>
        <v/>
      </c>
      <c r="L5" s="27">
        <f>IFERROR(INDEX(INDIRECT("'"&amp;L$1&amp;"'!$V$18:$V$45"),MATCH($A5,INDIRECT("'"&amp;L$1&amp;"'!$A$18:$A$45"),0)),0)</f>
        <v/>
      </c>
      <c r="M5" s="27">
        <f>IFERROR(INDEX(INDIRECT("'"&amp;L$1&amp;"'!$V$49:$V$76"),MATCH($A5,INDIRECT("'"&amp;L$1&amp;"'!$A$49:$A$76"),0)),0)</f>
        <v/>
      </c>
      <c r="N5" s="27">
        <f>IFERROR(INDEX(INDIRECT("'"&amp;N$1&amp;"'!$V$18:$V$45"),MATCH($A5,INDIRECT("'"&amp;N$1&amp;"'!$A$18:$A$45"),0)),0)</f>
        <v/>
      </c>
      <c r="O5" s="27">
        <f>IFERROR(INDEX(INDIRECT("'"&amp;N$1&amp;"'!$V$49:$V$76"),MATCH($A5,INDIRECT("'"&amp;N$1&amp;"'!$A$49:$A$76"),0)),0)</f>
        <v/>
      </c>
      <c r="P5" s="27">
        <f>IFERROR(INDEX(INDIRECT("'"&amp;P$1&amp;"'!$V$18:$V$45"),MATCH($A5,INDIRECT("'"&amp;P$1&amp;"'!$A$18:$A$45"),0)),0)</f>
        <v/>
      </c>
      <c r="Q5" s="27">
        <f>IFERROR(INDEX(INDIRECT("'"&amp;P$1&amp;"'!$V$49:$V$76"),MATCH($A5,INDIRECT("'"&amp;P$1&amp;"'!$A$49:$A$76"),0)),0)</f>
        <v/>
      </c>
      <c r="R5" s="27">
        <f>IFERROR(INDEX(INDIRECT("'"&amp;R$1&amp;"'!$V$18:$V$45"),MATCH($A5,INDIRECT("'"&amp;R$1&amp;"'!$A$18:$A$45"),0)),0)</f>
        <v/>
      </c>
      <c r="S5" s="27">
        <f>IFERROR(INDEX(INDIRECT("'"&amp;R$1&amp;"'!$V$49:$V$76"),MATCH($A5,INDIRECT("'"&amp;R$1&amp;"'!$A$49:$A$76"),0)),0)</f>
        <v/>
      </c>
      <c r="T5" s="27">
        <f>IFERROR(INDEX(INDIRECT("'"&amp;T$1&amp;"'!$V$18:$V$45"),MATCH($A5,INDIRECT("'"&amp;T$1&amp;"'!$A$18:$A$45"),0)),0)</f>
        <v/>
      </c>
      <c r="U5" s="27">
        <f>IFERROR(INDEX(INDIRECT("'"&amp;T$1&amp;"'!$V$49:$V$76"),MATCH($A5,INDIRECT("'"&amp;T$1&amp;"'!$A$49:$A$76"),0)),0)</f>
        <v/>
      </c>
      <c r="V5" s="24">
        <f>B5+D5+F5+H5+J5+L5+N5+P5+R5+T5</f>
        <v/>
      </c>
      <c r="W5" s="24">
        <f>C5+E5+G5+I5+K5+M5+O5+Q5+S5+U5</f>
        <v/>
      </c>
      <c r="X5" s="14">
        <f>IF(V5=0,"—",ROUND(W5/V5,2))</f>
        <v/>
      </c>
      <c r="Y5" s="14">
        <f>IFERROR(INDEX(INDIRECT("'"&amp;B$1&amp;"'!$V$80:$V$107"),MATCH($A5,INDIRECT("'"&amp;B$1&amp;"'!$A$80:$A$107"),0)),0)+IFERROR(INDEX(INDIRECT("'"&amp;D$1&amp;"'!$V$80:$V$107"),MATCH($A5,INDIRECT("'"&amp;D$1&amp;"'!$A$80:$A$107"),0)),0)+IFERROR(INDEX(INDIRECT("'"&amp;F$1&amp;"'!$V$80:$V$107"),MATCH($A5,INDIRECT("'"&amp;F$1&amp;"'!$A$80:$A$107"),0)),0)+IFERROR(INDEX(INDIRECT("'"&amp;H$1&amp;"'!$V$80:$V$107"),MATCH($A5,INDIRECT("'"&amp;H$1&amp;"'!$A$80:$A$107"),0)),0)+IFERROR(INDEX(INDIRECT("'"&amp;J$1&amp;"'!$V$80:$V$107"),MATCH($A5,INDIRECT("'"&amp;J$1&amp;"'!$A$80:$A$107"),0)),0)+IFERROR(INDEX(INDIRECT("'"&amp;L$1&amp;"'!$V$80:$V$107"),MATCH($A5,INDIRECT("'"&amp;L$1&amp;"'!$A$80:$A$107"),0)),0)+IFERROR(INDEX(INDIRECT("'"&amp;N$1&amp;"'!$V$80:$V$107"),MATCH($A5,INDIRECT("'"&amp;N$1&amp;"'!$A$80:$A$107"),0)),0)+IFERROR(INDEX(INDIRECT("'"&amp;P$1&amp;"'!$V$80:$V$107"),MATCH($A5,INDIRECT("'"&amp;P$1&amp;"'!$A$80:$A$107"),0)),0)+IFERROR(INDEX(INDIRECT("'"&amp;R$1&amp;"'!$V$80:$V$107"),MATCH($A5,INDIRECT("'"&amp;R$1&amp;"'!$A$80:$A$107"),0)),0)+IFERROR(INDEX(INDIRECT("'"&amp;T$1&amp;"'!$V$80:$V$107"),MATCH($A5,INDIRECT("'"&amp;T$1&amp;"'!$A$80:$A$107"),0)),0)</f>
        <v/>
      </c>
    </row>
    <row r="6">
      <c r="A6" s="23" t="inlineStr">
        <is>
          <t>Ben Merrett</t>
        </is>
      </c>
      <c r="B6" s="27">
        <f>IFERROR(INDEX(INDIRECT("'"&amp;B$1&amp;"'!$V$18:$V$45"),MATCH($A6,INDIRECT("'"&amp;B$1&amp;"'!$A$18:$A$45"),0)),0)</f>
        <v/>
      </c>
      <c r="C6" s="27">
        <f>IFERROR(INDEX(INDIRECT("'"&amp;B$1&amp;"'!$V$49:$V$76"),MATCH($A6,INDIRECT("'"&amp;B$1&amp;"'!$A$49:$A$76"),0)),0)</f>
        <v/>
      </c>
      <c r="D6" s="27">
        <f>IFERROR(INDEX(INDIRECT("'"&amp;D$1&amp;"'!$V$18:$V$45"),MATCH($A6,INDIRECT("'"&amp;D$1&amp;"'!$A$18:$A$45"),0)),0)</f>
        <v/>
      </c>
      <c r="E6" s="27">
        <f>IFERROR(INDEX(INDIRECT("'"&amp;D$1&amp;"'!$V$49:$V$76"),MATCH($A6,INDIRECT("'"&amp;D$1&amp;"'!$A$49:$A$76"),0)),0)</f>
        <v/>
      </c>
      <c r="F6" s="27">
        <f>IFERROR(INDEX(INDIRECT("'"&amp;F$1&amp;"'!$V$18:$V$45"),MATCH($A6,INDIRECT("'"&amp;F$1&amp;"'!$A$18:$A$45"),0)),0)</f>
        <v/>
      </c>
      <c r="G6" s="27">
        <f>IFERROR(INDEX(INDIRECT("'"&amp;F$1&amp;"'!$V$49:$V$76"),MATCH($A6,INDIRECT("'"&amp;F$1&amp;"'!$A$49:$A$76"),0)),0)</f>
        <v/>
      </c>
      <c r="H6" s="27">
        <f>IFERROR(INDEX(INDIRECT("'"&amp;H$1&amp;"'!$V$18:$V$45"),MATCH($A6,INDIRECT("'"&amp;H$1&amp;"'!$A$18:$A$45"),0)),0)</f>
        <v/>
      </c>
      <c r="I6" s="27">
        <f>IFERROR(INDEX(INDIRECT("'"&amp;H$1&amp;"'!$V$49:$V$76"),MATCH($A6,INDIRECT("'"&amp;H$1&amp;"'!$A$49:$A$76"),0)),0)</f>
        <v/>
      </c>
      <c r="J6" s="27">
        <f>IFERROR(INDEX(INDIRECT("'"&amp;J$1&amp;"'!$V$18:$V$45"),MATCH($A6,INDIRECT("'"&amp;J$1&amp;"'!$A$18:$A$45"),0)),0)</f>
        <v/>
      </c>
      <c r="K6" s="27">
        <f>IFERROR(INDEX(INDIRECT("'"&amp;J$1&amp;"'!$V$49:$V$76"),MATCH($A6,INDIRECT("'"&amp;J$1&amp;"'!$A$49:$A$76"),0)),0)</f>
        <v/>
      </c>
      <c r="L6" s="27">
        <f>IFERROR(INDEX(INDIRECT("'"&amp;L$1&amp;"'!$V$18:$V$45"),MATCH($A6,INDIRECT("'"&amp;L$1&amp;"'!$A$18:$A$45"),0)),0)</f>
        <v/>
      </c>
      <c r="M6" s="27">
        <f>IFERROR(INDEX(INDIRECT("'"&amp;L$1&amp;"'!$V$49:$V$76"),MATCH($A6,INDIRECT("'"&amp;L$1&amp;"'!$A$49:$A$76"),0)),0)</f>
        <v/>
      </c>
      <c r="N6" s="27">
        <f>IFERROR(INDEX(INDIRECT("'"&amp;N$1&amp;"'!$V$18:$V$45"),MATCH($A6,INDIRECT("'"&amp;N$1&amp;"'!$A$18:$A$45"),0)),0)</f>
        <v/>
      </c>
      <c r="O6" s="27">
        <f>IFERROR(INDEX(INDIRECT("'"&amp;N$1&amp;"'!$V$49:$V$76"),MATCH($A6,INDIRECT("'"&amp;N$1&amp;"'!$A$49:$A$76"),0)),0)</f>
        <v/>
      </c>
      <c r="P6" s="27">
        <f>IFERROR(INDEX(INDIRECT("'"&amp;P$1&amp;"'!$V$18:$V$45"),MATCH($A6,INDIRECT("'"&amp;P$1&amp;"'!$A$18:$A$45"),0)),0)</f>
        <v/>
      </c>
      <c r="Q6" s="27">
        <f>IFERROR(INDEX(INDIRECT("'"&amp;P$1&amp;"'!$V$49:$V$76"),MATCH($A6,INDIRECT("'"&amp;P$1&amp;"'!$A$49:$A$76"),0)),0)</f>
        <v/>
      </c>
      <c r="R6" s="27">
        <f>IFERROR(INDEX(INDIRECT("'"&amp;R$1&amp;"'!$V$18:$V$45"),MATCH($A6,INDIRECT("'"&amp;R$1&amp;"'!$A$18:$A$45"),0)),0)</f>
        <v/>
      </c>
      <c r="S6" s="27">
        <f>IFERROR(INDEX(INDIRECT("'"&amp;R$1&amp;"'!$V$49:$V$76"),MATCH($A6,INDIRECT("'"&amp;R$1&amp;"'!$A$49:$A$76"),0)),0)</f>
        <v/>
      </c>
      <c r="T6" s="27">
        <f>IFERROR(INDEX(INDIRECT("'"&amp;T$1&amp;"'!$V$18:$V$45"),MATCH($A6,INDIRECT("'"&amp;T$1&amp;"'!$A$18:$A$45"),0)),0)</f>
        <v/>
      </c>
      <c r="U6" s="27">
        <f>IFERROR(INDEX(INDIRECT("'"&amp;T$1&amp;"'!$V$49:$V$76"),MATCH($A6,INDIRECT("'"&amp;T$1&amp;"'!$A$49:$A$76"),0)),0)</f>
        <v/>
      </c>
      <c r="V6" s="24">
        <f>B6+D6+F6+H6+J6+L6+N6+P6+R6+T6</f>
        <v/>
      </c>
      <c r="W6" s="24">
        <f>C6+E6+G6+I6+K6+M6+O6+Q6+S6+U6</f>
        <v/>
      </c>
      <c r="X6" s="14">
        <f>IF(V6=0,"—",ROUND(W6/V6,2))</f>
        <v/>
      </c>
      <c r="Y6" s="14">
        <f>IFERROR(INDEX(INDIRECT("'"&amp;B$1&amp;"'!$V$80:$V$107"),MATCH($A6,INDIRECT("'"&amp;B$1&amp;"'!$A$80:$A$107"),0)),0)+IFERROR(INDEX(INDIRECT("'"&amp;D$1&amp;"'!$V$80:$V$107"),MATCH($A6,INDIRECT("'"&amp;D$1&amp;"'!$A$80:$A$107"),0)),0)+IFERROR(INDEX(INDIRECT("'"&amp;F$1&amp;"'!$V$80:$V$107"),MATCH($A6,INDIRECT("'"&amp;F$1&amp;"'!$A$80:$A$107"),0)),0)+IFERROR(INDEX(INDIRECT("'"&amp;H$1&amp;"'!$V$80:$V$107"),MATCH($A6,INDIRECT("'"&amp;H$1&amp;"'!$A$80:$A$107"),0)),0)+IFERROR(INDEX(INDIRECT("'"&amp;J$1&amp;"'!$V$80:$V$107"),MATCH($A6,INDIRECT("'"&amp;J$1&amp;"'!$A$80:$A$107"),0)),0)+IFERROR(INDEX(INDIRECT("'"&amp;L$1&amp;"'!$V$80:$V$107"),MATCH($A6,INDIRECT("'"&amp;L$1&amp;"'!$A$80:$A$107"),0)),0)+IFERROR(INDEX(INDIRECT("'"&amp;N$1&amp;"'!$V$80:$V$107"),MATCH($A6,INDIRECT("'"&amp;N$1&amp;"'!$A$80:$A$107"),0)),0)+IFERROR(INDEX(INDIRECT("'"&amp;P$1&amp;"'!$V$80:$V$107"),MATCH($A6,INDIRECT("'"&amp;P$1&amp;"'!$A$80:$A$107"),0)),0)+IFERROR(INDEX(INDIRECT("'"&amp;R$1&amp;"'!$V$80:$V$107"),MATCH($A6,INDIRECT("'"&amp;R$1&amp;"'!$A$80:$A$107"),0)),0)+IFERROR(INDEX(INDIRECT("'"&amp;T$1&amp;"'!$V$80:$V$107"),MATCH($A6,INDIRECT("'"&amp;T$1&amp;"'!$A$80:$A$107"),0)),0)</f>
        <v/>
      </c>
    </row>
    <row r="7">
      <c r="A7" s="23" t="inlineStr">
        <is>
          <t>Callum McCarthy</t>
        </is>
      </c>
      <c r="B7" s="27">
        <f>IFERROR(INDEX(INDIRECT("'"&amp;B$1&amp;"'!$V$18:$V$45"),MATCH($A7,INDIRECT("'"&amp;B$1&amp;"'!$A$18:$A$45"),0)),0)</f>
        <v/>
      </c>
      <c r="C7" s="27">
        <f>IFERROR(INDEX(INDIRECT("'"&amp;B$1&amp;"'!$V$49:$V$76"),MATCH($A7,INDIRECT("'"&amp;B$1&amp;"'!$A$49:$A$76"),0)),0)</f>
        <v/>
      </c>
      <c r="D7" s="27">
        <f>IFERROR(INDEX(INDIRECT("'"&amp;D$1&amp;"'!$V$18:$V$45"),MATCH($A7,INDIRECT("'"&amp;D$1&amp;"'!$A$18:$A$45"),0)),0)</f>
        <v/>
      </c>
      <c r="E7" s="27">
        <f>IFERROR(INDEX(INDIRECT("'"&amp;D$1&amp;"'!$V$49:$V$76"),MATCH($A7,INDIRECT("'"&amp;D$1&amp;"'!$A$49:$A$76"),0)),0)</f>
        <v/>
      </c>
      <c r="F7" s="27">
        <f>IFERROR(INDEX(INDIRECT("'"&amp;F$1&amp;"'!$V$18:$V$45"),MATCH($A7,INDIRECT("'"&amp;F$1&amp;"'!$A$18:$A$45"),0)),0)</f>
        <v/>
      </c>
      <c r="G7" s="27">
        <f>IFERROR(INDEX(INDIRECT("'"&amp;F$1&amp;"'!$V$49:$V$76"),MATCH($A7,INDIRECT("'"&amp;F$1&amp;"'!$A$49:$A$76"),0)),0)</f>
        <v/>
      </c>
      <c r="H7" s="27">
        <f>IFERROR(INDEX(INDIRECT("'"&amp;H$1&amp;"'!$V$18:$V$45"),MATCH($A7,INDIRECT("'"&amp;H$1&amp;"'!$A$18:$A$45"),0)),0)</f>
        <v/>
      </c>
      <c r="I7" s="27">
        <f>IFERROR(INDEX(INDIRECT("'"&amp;H$1&amp;"'!$V$49:$V$76"),MATCH($A7,INDIRECT("'"&amp;H$1&amp;"'!$A$49:$A$76"),0)),0)</f>
        <v/>
      </c>
      <c r="J7" s="27">
        <f>IFERROR(INDEX(INDIRECT("'"&amp;J$1&amp;"'!$V$18:$V$45"),MATCH($A7,INDIRECT("'"&amp;J$1&amp;"'!$A$18:$A$45"),0)),0)</f>
        <v/>
      </c>
      <c r="K7" s="27">
        <f>IFERROR(INDEX(INDIRECT("'"&amp;J$1&amp;"'!$V$49:$V$76"),MATCH($A7,INDIRECT("'"&amp;J$1&amp;"'!$A$49:$A$76"),0)),0)</f>
        <v/>
      </c>
      <c r="L7" s="27">
        <f>IFERROR(INDEX(INDIRECT("'"&amp;L$1&amp;"'!$V$18:$V$45"),MATCH($A7,INDIRECT("'"&amp;L$1&amp;"'!$A$18:$A$45"),0)),0)</f>
        <v/>
      </c>
      <c r="M7" s="27">
        <f>IFERROR(INDEX(INDIRECT("'"&amp;L$1&amp;"'!$V$49:$V$76"),MATCH($A7,INDIRECT("'"&amp;L$1&amp;"'!$A$49:$A$76"),0)),0)</f>
        <v/>
      </c>
      <c r="N7" s="27">
        <f>IFERROR(INDEX(INDIRECT("'"&amp;N$1&amp;"'!$V$18:$V$45"),MATCH($A7,INDIRECT("'"&amp;N$1&amp;"'!$A$18:$A$45"),0)),0)</f>
        <v/>
      </c>
      <c r="O7" s="27">
        <f>IFERROR(INDEX(INDIRECT("'"&amp;N$1&amp;"'!$V$49:$V$76"),MATCH($A7,INDIRECT("'"&amp;N$1&amp;"'!$A$49:$A$76"),0)),0)</f>
        <v/>
      </c>
      <c r="P7" s="27">
        <f>IFERROR(INDEX(INDIRECT("'"&amp;P$1&amp;"'!$V$18:$V$45"),MATCH($A7,INDIRECT("'"&amp;P$1&amp;"'!$A$18:$A$45"),0)),0)</f>
        <v/>
      </c>
      <c r="Q7" s="27">
        <f>IFERROR(INDEX(INDIRECT("'"&amp;P$1&amp;"'!$V$49:$V$76"),MATCH($A7,INDIRECT("'"&amp;P$1&amp;"'!$A$49:$A$76"),0)),0)</f>
        <v/>
      </c>
      <c r="R7" s="27">
        <f>IFERROR(INDEX(INDIRECT("'"&amp;R$1&amp;"'!$V$18:$V$45"),MATCH($A7,INDIRECT("'"&amp;R$1&amp;"'!$A$18:$A$45"),0)),0)</f>
        <v/>
      </c>
      <c r="S7" s="27">
        <f>IFERROR(INDEX(INDIRECT("'"&amp;R$1&amp;"'!$V$49:$V$76"),MATCH($A7,INDIRECT("'"&amp;R$1&amp;"'!$A$49:$A$76"),0)),0)</f>
        <v/>
      </c>
      <c r="T7" s="27">
        <f>IFERROR(INDEX(INDIRECT("'"&amp;T$1&amp;"'!$V$18:$V$45"),MATCH($A7,INDIRECT("'"&amp;T$1&amp;"'!$A$18:$A$45"),0)),0)</f>
        <v/>
      </c>
      <c r="U7" s="27">
        <f>IFERROR(INDEX(INDIRECT("'"&amp;T$1&amp;"'!$V$49:$V$76"),MATCH($A7,INDIRECT("'"&amp;T$1&amp;"'!$A$49:$A$76"),0)),0)</f>
        <v/>
      </c>
      <c r="V7" s="24">
        <f>B7+D7+F7+H7+J7+L7+N7+P7+R7+T7</f>
        <v/>
      </c>
      <c r="W7" s="24">
        <f>C7+E7+G7+I7+K7+M7+O7+Q7+S7+U7</f>
        <v/>
      </c>
      <c r="X7" s="14">
        <f>IF(V7=0,"—",ROUND(W7/V7,2))</f>
        <v/>
      </c>
      <c r="Y7" s="14">
        <f>IFERROR(INDEX(INDIRECT("'"&amp;B$1&amp;"'!$V$80:$V$107"),MATCH($A7,INDIRECT("'"&amp;B$1&amp;"'!$A$80:$A$107"),0)),0)+IFERROR(INDEX(INDIRECT("'"&amp;D$1&amp;"'!$V$80:$V$107"),MATCH($A7,INDIRECT("'"&amp;D$1&amp;"'!$A$80:$A$107"),0)),0)+IFERROR(INDEX(INDIRECT("'"&amp;F$1&amp;"'!$V$80:$V$107"),MATCH($A7,INDIRECT("'"&amp;F$1&amp;"'!$A$80:$A$107"),0)),0)+IFERROR(INDEX(INDIRECT("'"&amp;H$1&amp;"'!$V$80:$V$107"),MATCH($A7,INDIRECT("'"&amp;H$1&amp;"'!$A$80:$A$107"),0)),0)+IFERROR(INDEX(INDIRECT("'"&amp;J$1&amp;"'!$V$80:$V$107"),MATCH($A7,INDIRECT("'"&amp;J$1&amp;"'!$A$80:$A$107"),0)),0)+IFERROR(INDEX(INDIRECT("'"&amp;L$1&amp;"'!$V$80:$V$107"),MATCH($A7,INDIRECT("'"&amp;L$1&amp;"'!$A$80:$A$107"),0)),0)+IFERROR(INDEX(INDIRECT("'"&amp;N$1&amp;"'!$V$80:$V$107"),MATCH($A7,INDIRECT("'"&amp;N$1&amp;"'!$A$80:$A$107"),0)),0)+IFERROR(INDEX(INDIRECT("'"&amp;P$1&amp;"'!$V$80:$V$107"),MATCH($A7,INDIRECT("'"&amp;P$1&amp;"'!$A$80:$A$107"),0)),0)+IFERROR(INDEX(INDIRECT("'"&amp;R$1&amp;"'!$V$80:$V$107"),MATCH($A7,INDIRECT("'"&amp;R$1&amp;"'!$A$80:$A$107"),0)),0)+IFERROR(INDEX(INDIRECT("'"&amp;T$1&amp;"'!$V$80:$V$107"),MATCH($A7,INDIRECT("'"&amp;T$1&amp;"'!$A$80:$A$107"),0)),0)</f>
        <v/>
      </c>
    </row>
    <row r="8">
      <c r="A8" s="23" t="inlineStr">
        <is>
          <t>Cecil Watson</t>
        </is>
      </c>
      <c r="B8" s="27">
        <f>IFERROR(INDEX(INDIRECT("'"&amp;B$1&amp;"'!$V$18:$V$45"),MATCH($A8,INDIRECT("'"&amp;B$1&amp;"'!$A$18:$A$45"),0)),0)</f>
        <v/>
      </c>
      <c r="C8" s="27">
        <f>IFERROR(INDEX(INDIRECT("'"&amp;B$1&amp;"'!$V$49:$V$76"),MATCH($A8,INDIRECT("'"&amp;B$1&amp;"'!$A$49:$A$76"),0)),0)</f>
        <v/>
      </c>
      <c r="D8" s="27">
        <f>IFERROR(INDEX(INDIRECT("'"&amp;D$1&amp;"'!$V$18:$V$45"),MATCH($A8,INDIRECT("'"&amp;D$1&amp;"'!$A$18:$A$45"),0)),0)</f>
        <v/>
      </c>
      <c r="E8" s="27">
        <f>IFERROR(INDEX(INDIRECT("'"&amp;D$1&amp;"'!$V$49:$V$76"),MATCH($A8,INDIRECT("'"&amp;D$1&amp;"'!$A$49:$A$76"),0)),0)</f>
        <v/>
      </c>
      <c r="F8" s="27">
        <f>IFERROR(INDEX(INDIRECT("'"&amp;F$1&amp;"'!$V$18:$V$45"),MATCH($A8,INDIRECT("'"&amp;F$1&amp;"'!$A$18:$A$45"),0)),0)</f>
        <v/>
      </c>
      <c r="G8" s="27">
        <f>IFERROR(INDEX(INDIRECT("'"&amp;F$1&amp;"'!$V$49:$V$76"),MATCH($A8,INDIRECT("'"&amp;F$1&amp;"'!$A$49:$A$76"),0)),0)</f>
        <v/>
      </c>
      <c r="H8" s="27">
        <f>IFERROR(INDEX(INDIRECT("'"&amp;H$1&amp;"'!$V$18:$V$45"),MATCH($A8,INDIRECT("'"&amp;H$1&amp;"'!$A$18:$A$45"),0)),0)</f>
        <v/>
      </c>
      <c r="I8" s="27">
        <f>IFERROR(INDEX(INDIRECT("'"&amp;H$1&amp;"'!$V$49:$V$76"),MATCH($A8,INDIRECT("'"&amp;H$1&amp;"'!$A$49:$A$76"),0)),0)</f>
        <v/>
      </c>
      <c r="J8" s="27">
        <f>IFERROR(INDEX(INDIRECT("'"&amp;J$1&amp;"'!$V$18:$V$45"),MATCH($A8,INDIRECT("'"&amp;J$1&amp;"'!$A$18:$A$45"),0)),0)</f>
        <v/>
      </c>
      <c r="K8" s="27">
        <f>IFERROR(INDEX(INDIRECT("'"&amp;J$1&amp;"'!$V$49:$V$76"),MATCH($A8,INDIRECT("'"&amp;J$1&amp;"'!$A$49:$A$76"),0)),0)</f>
        <v/>
      </c>
      <c r="L8" s="27">
        <f>IFERROR(INDEX(INDIRECT("'"&amp;L$1&amp;"'!$V$18:$V$45"),MATCH($A8,INDIRECT("'"&amp;L$1&amp;"'!$A$18:$A$45"),0)),0)</f>
        <v/>
      </c>
      <c r="M8" s="27">
        <f>IFERROR(INDEX(INDIRECT("'"&amp;L$1&amp;"'!$V$49:$V$76"),MATCH($A8,INDIRECT("'"&amp;L$1&amp;"'!$A$49:$A$76"),0)),0)</f>
        <v/>
      </c>
      <c r="N8" s="27">
        <f>IFERROR(INDEX(INDIRECT("'"&amp;N$1&amp;"'!$V$18:$V$45"),MATCH($A8,INDIRECT("'"&amp;N$1&amp;"'!$A$18:$A$45"),0)),0)</f>
        <v/>
      </c>
      <c r="O8" s="27">
        <f>IFERROR(INDEX(INDIRECT("'"&amp;N$1&amp;"'!$V$49:$V$76"),MATCH($A8,INDIRECT("'"&amp;N$1&amp;"'!$A$49:$A$76"),0)),0)</f>
        <v/>
      </c>
      <c r="P8" s="27">
        <f>IFERROR(INDEX(INDIRECT("'"&amp;P$1&amp;"'!$V$18:$V$45"),MATCH($A8,INDIRECT("'"&amp;P$1&amp;"'!$A$18:$A$45"),0)),0)</f>
        <v/>
      </c>
      <c r="Q8" s="27">
        <f>IFERROR(INDEX(INDIRECT("'"&amp;P$1&amp;"'!$V$49:$V$76"),MATCH($A8,INDIRECT("'"&amp;P$1&amp;"'!$A$49:$A$76"),0)),0)</f>
        <v/>
      </c>
      <c r="R8" s="27">
        <f>IFERROR(INDEX(INDIRECT("'"&amp;R$1&amp;"'!$V$18:$V$45"),MATCH($A8,INDIRECT("'"&amp;R$1&amp;"'!$A$18:$A$45"),0)),0)</f>
        <v/>
      </c>
      <c r="S8" s="27">
        <f>IFERROR(INDEX(INDIRECT("'"&amp;R$1&amp;"'!$V$49:$V$76"),MATCH($A8,INDIRECT("'"&amp;R$1&amp;"'!$A$49:$A$76"),0)),0)</f>
        <v/>
      </c>
      <c r="T8" s="27">
        <f>IFERROR(INDEX(INDIRECT("'"&amp;T$1&amp;"'!$V$18:$V$45"),MATCH($A8,INDIRECT("'"&amp;T$1&amp;"'!$A$18:$A$45"),0)),0)</f>
        <v/>
      </c>
      <c r="U8" s="27">
        <f>IFERROR(INDEX(INDIRECT("'"&amp;T$1&amp;"'!$V$49:$V$76"),MATCH($A8,INDIRECT("'"&amp;T$1&amp;"'!$A$49:$A$76"),0)),0)</f>
        <v/>
      </c>
      <c r="V8" s="24">
        <f>B8+D8+F8+H8+J8+L8+N8+P8+R8+T8</f>
        <v/>
      </c>
      <c r="W8" s="24">
        <f>C8+E8+G8+I8+K8+M8+O8+Q8+S8+U8</f>
        <v/>
      </c>
      <c r="X8" s="14">
        <f>IF(V8=0,"—",ROUND(W8/V8,2))</f>
        <v/>
      </c>
      <c r="Y8" s="14">
        <f>IFERROR(INDEX(INDIRECT("'"&amp;B$1&amp;"'!$V$80:$V$107"),MATCH($A8,INDIRECT("'"&amp;B$1&amp;"'!$A$80:$A$107"),0)),0)+IFERROR(INDEX(INDIRECT("'"&amp;D$1&amp;"'!$V$80:$V$107"),MATCH($A8,INDIRECT("'"&amp;D$1&amp;"'!$A$80:$A$107"),0)),0)+IFERROR(INDEX(INDIRECT("'"&amp;F$1&amp;"'!$V$80:$V$107"),MATCH($A8,INDIRECT("'"&amp;F$1&amp;"'!$A$80:$A$107"),0)),0)+IFERROR(INDEX(INDIRECT("'"&amp;H$1&amp;"'!$V$80:$V$107"),MATCH($A8,INDIRECT("'"&amp;H$1&amp;"'!$A$80:$A$107"),0)),0)+IFERROR(INDEX(INDIRECT("'"&amp;J$1&amp;"'!$V$80:$V$107"),MATCH($A8,INDIRECT("'"&amp;J$1&amp;"'!$A$80:$A$107"),0)),0)+IFERROR(INDEX(INDIRECT("'"&amp;L$1&amp;"'!$V$80:$V$107"),MATCH($A8,INDIRECT("'"&amp;L$1&amp;"'!$A$80:$A$107"),0)),0)+IFERROR(INDEX(INDIRECT("'"&amp;N$1&amp;"'!$V$80:$V$107"),MATCH($A8,INDIRECT("'"&amp;N$1&amp;"'!$A$80:$A$107"),0)),0)+IFERROR(INDEX(INDIRECT("'"&amp;P$1&amp;"'!$V$80:$V$107"),MATCH($A8,INDIRECT("'"&amp;P$1&amp;"'!$A$80:$A$107"),0)),0)+IFERROR(INDEX(INDIRECT("'"&amp;R$1&amp;"'!$V$80:$V$107"),MATCH($A8,INDIRECT("'"&amp;R$1&amp;"'!$A$80:$A$107"),0)),0)+IFERROR(INDEX(INDIRECT("'"&amp;T$1&amp;"'!$V$80:$V$107"),MATCH($A8,INDIRECT("'"&amp;T$1&amp;"'!$A$80:$A$107"),0)),0)</f>
        <v/>
      </c>
    </row>
    <row r="9">
      <c r="A9" s="23" t="inlineStr">
        <is>
          <t>Conall Templeman</t>
        </is>
      </c>
      <c r="B9" s="27">
        <f>IFERROR(INDEX(INDIRECT("'"&amp;B$1&amp;"'!$V$18:$V$45"),MATCH($A9,INDIRECT("'"&amp;B$1&amp;"'!$A$18:$A$45"),0)),0)</f>
        <v/>
      </c>
      <c r="C9" s="27">
        <f>IFERROR(INDEX(INDIRECT("'"&amp;B$1&amp;"'!$V$49:$V$76"),MATCH($A9,INDIRECT("'"&amp;B$1&amp;"'!$A$49:$A$76"),0)),0)</f>
        <v/>
      </c>
      <c r="D9" s="27">
        <f>IFERROR(INDEX(INDIRECT("'"&amp;D$1&amp;"'!$V$18:$V$45"),MATCH($A9,INDIRECT("'"&amp;D$1&amp;"'!$A$18:$A$45"),0)),0)</f>
        <v/>
      </c>
      <c r="E9" s="27">
        <f>IFERROR(INDEX(INDIRECT("'"&amp;D$1&amp;"'!$V$49:$V$76"),MATCH($A9,INDIRECT("'"&amp;D$1&amp;"'!$A$49:$A$76"),0)),0)</f>
        <v/>
      </c>
      <c r="F9" s="27">
        <f>IFERROR(INDEX(INDIRECT("'"&amp;F$1&amp;"'!$V$18:$V$45"),MATCH($A9,INDIRECT("'"&amp;F$1&amp;"'!$A$18:$A$45"),0)),0)</f>
        <v/>
      </c>
      <c r="G9" s="27">
        <f>IFERROR(INDEX(INDIRECT("'"&amp;F$1&amp;"'!$V$49:$V$76"),MATCH($A9,INDIRECT("'"&amp;F$1&amp;"'!$A$49:$A$76"),0)),0)</f>
        <v/>
      </c>
      <c r="H9" s="27">
        <f>IFERROR(INDEX(INDIRECT("'"&amp;H$1&amp;"'!$V$18:$V$45"),MATCH($A9,INDIRECT("'"&amp;H$1&amp;"'!$A$18:$A$45"),0)),0)</f>
        <v/>
      </c>
      <c r="I9" s="27">
        <f>IFERROR(INDEX(INDIRECT("'"&amp;H$1&amp;"'!$V$49:$V$76"),MATCH($A9,INDIRECT("'"&amp;H$1&amp;"'!$A$49:$A$76"),0)),0)</f>
        <v/>
      </c>
      <c r="J9" s="27">
        <f>IFERROR(INDEX(INDIRECT("'"&amp;J$1&amp;"'!$V$18:$V$45"),MATCH($A9,INDIRECT("'"&amp;J$1&amp;"'!$A$18:$A$45"),0)),0)</f>
        <v/>
      </c>
      <c r="K9" s="27">
        <f>IFERROR(INDEX(INDIRECT("'"&amp;J$1&amp;"'!$V$49:$V$76"),MATCH($A9,INDIRECT("'"&amp;J$1&amp;"'!$A$49:$A$76"),0)),0)</f>
        <v/>
      </c>
      <c r="L9" s="27">
        <f>IFERROR(INDEX(INDIRECT("'"&amp;L$1&amp;"'!$V$18:$V$45"),MATCH($A9,INDIRECT("'"&amp;L$1&amp;"'!$A$18:$A$45"),0)),0)</f>
        <v/>
      </c>
      <c r="M9" s="27">
        <f>IFERROR(INDEX(INDIRECT("'"&amp;L$1&amp;"'!$V$49:$V$76"),MATCH($A9,INDIRECT("'"&amp;L$1&amp;"'!$A$49:$A$76"),0)),0)</f>
        <v/>
      </c>
      <c r="N9" s="27">
        <f>IFERROR(INDEX(INDIRECT("'"&amp;N$1&amp;"'!$V$18:$V$45"),MATCH($A9,INDIRECT("'"&amp;N$1&amp;"'!$A$18:$A$45"),0)),0)</f>
        <v/>
      </c>
      <c r="O9" s="27">
        <f>IFERROR(INDEX(INDIRECT("'"&amp;N$1&amp;"'!$V$49:$V$76"),MATCH($A9,INDIRECT("'"&amp;N$1&amp;"'!$A$49:$A$76"),0)),0)</f>
        <v/>
      </c>
      <c r="P9" s="27">
        <f>IFERROR(INDEX(INDIRECT("'"&amp;P$1&amp;"'!$V$18:$V$45"),MATCH($A9,INDIRECT("'"&amp;P$1&amp;"'!$A$18:$A$45"),0)),0)</f>
        <v/>
      </c>
      <c r="Q9" s="27">
        <f>IFERROR(INDEX(INDIRECT("'"&amp;P$1&amp;"'!$V$49:$V$76"),MATCH($A9,INDIRECT("'"&amp;P$1&amp;"'!$A$49:$A$76"),0)),0)</f>
        <v/>
      </c>
      <c r="R9" s="27">
        <f>IFERROR(INDEX(INDIRECT("'"&amp;R$1&amp;"'!$V$18:$V$45"),MATCH($A9,INDIRECT("'"&amp;R$1&amp;"'!$A$18:$A$45"),0)),0)</f>
        <v/>
      </c>
      <c r="S9" s="27">
        <f>IFERROR(INDEX(INDIRECT("'"&amp;R$1&amp;"'!$V$49:$V$76"),MATCH($A9,INDIRECT("'"&amp;R$1&amp;"'!$A$49:$A$76"),0)),0)</f>
        <v/>
      </c>
      <c r="T9" s="27">
        <f>IFERROR(INDEX(INDIRECT("'"&amp;T$1&amp;"'!$V$18:$V$45"),MATCH($A9,INDIRECT("'"&amp;T$1&amp;"'!$A$18:$A$45"),0)),0)</f>
        <v/>
      </c>
      <c r="U9" s="27">
        <f>IFERROR(INDEX(INDIRECT("'"&amp;T$1&amp;"'!$V$49:$V$76"),MATCH($A9,INDIRECT("'"&amp;T$1&amp;"'!$A$49:$A$76"),0)),0)</f>
        <v/>
      </c>
      <c r="V9" s="24">
        <f>B9+D9+F9+H9+J9+L9+N9+P9+R9+T9</f>
        <v/>
      </c>
      <c r="W9" s="24">
        <f>C9+E9+G9+I9+K9+M9+O9+Q9+S9+U9</f>
        <v/>
      </c>
      <c r="X9" s="14">
        <f>IF(V9=0,"—",ROUND(W9/V9,2))</f>
        <v/>
      </c>
      <c r="Y9" s="14">
        <f>IFERROR(INDEX(INDIRECT("'"&amp;B$1&amp;"'!$V$80:$V$107"),MATCH($A9,INDIRECT("'"&amp;B$1&amp;"'!$A$80:$A$107"),0)),0)+IFERROR(INDEX(INDIRECT("'"&amp;D$1&amp;"'!$V$80:$V$107"),MATCH($A9,INDIRECT("'"&amp;D$1&amp;"'!$A$80:$A$107"),0)),0)+IFERROR(INDEX(INDIRECT("'"&amp;F$1&amp;"'!$V$80:$V$107"),MATCH($A9,INDIRECT("'"&amp;F$1&amp;"'!$A$80:$A$107"),0)),0)+IFERROR(INDEX(INDIRECT("'"&amp;H$1&amp;"'!$V$80:$V$107"),MATCH($A9,INDIRECT("'"&amp;H$1&amp;"'!$A$80:$A$107"),0)),0)+IFERROR(INDEX(INDIRECT("'"&amp;J$1&amp;"'!$V$80:$V$107"),MATCH($A9,INDIRECT("'"&amp;J$1&amp;"'!$A$80:$A$107"),0)),0)+IFERROR(INDEX(INDIRECT("'"&amp;L$1&amp;"'!$V$80:$V$107"),MATCH($A9,INDIRECT("'"&amp;L$1&amp;"'!$A$80:$A$107"),0)),0)+IFERROR(INDEX(INDIRECT("'"&amp;N$1&amp;"'!$V$80:$V$107"),MATCH($A9,INDIRECT("'"&amp;N$1&amp;"'!$A$80:$A$107"),0)),0)+IFERROR(INDEX(INDIRECT("'"&amp;P$1&amp;"'!$V$80:$V$107"),MATCH($A9,INDIRECT("'"&amp;P$1&amp;"'!$A$80:$A$107"),0)),0)+IFERROR(INDEX(INDIRECT("'"&amp;R$1&amp;"'!$V$80:$V$107"),MATCH($A9,INDIRECT("'"&amp;R$1&amp;"'!$A$80:$A$107"),0)),0)+IFERROR(INDEX(INDIRECT("'"&amp;T$1&amp;"'!$V$80:$V$107"),MATCH($A9,INDIRECT("'"&amp;T$1&amp;"'!$A$80:$A$107"),0)),0)</f>
        <v/>
      </c>
    </row>
    <row r="10">
      <c r="A10" s="23" t="inlineStr">
        <is>
          <t>Eddie McLaughlin</t>
        </is>
      </c>
      <c r="B10" s="27">
        <f>IFERROR(INDEX(INDIRECT("'"&amp;B$1&amp;"'!$V$18:$V$45"),MATCH($A10,INDIRECT("'"&amp;B$1&amp;"'!$A$18:$A$45"),0)),0)</f>
        <v/>
      </c>
      <c r="C10" s="27">
        <f>IFERROR(INDEX(INDIRECT("'"&amp;B$1&amp;"'!$V$49:$V$76"),MATCH($A10,INDIRECT("'"&amp;B$1&amp;"'!$A$49:$A$76"),0)),0)</f>
        <v/>
      </c>
      <c r="D10" s="27">
        <f>IFERROR(INDEX(INDIRECT("'"&amp;D$1&amp;"'!$V$18:$V$45"),MATCH($A10,INDIRECT("'"&amp;D$1&amp;"'!$A$18:$A$45"),0)),0)</f>
        <v/>
      </c>
      <c r="E10" s="27">
        <f>IFERROR(INDEX(INDIRECT("'"&amp;D$1&amp;"'!$V$49:$V$76"),MATCH($A10,INDIRECT("'"&amp;D$1&amp;"'!$A$49:$A$76"),0)),0)</f>
        <v/>
      </c>
      <c r="F10" s="27">
        <f>IFERROR(INDEX(INDIRECT("'"&amp;F$1&amp;"'!$V$18:$V$45"),MATCH($A10,INDIRECT("'"&amp;F$1&amp;"'!$A$18:$A$45"),0)),0)</f>
        <v/>
      </c>
      <c r="G10" s="27">
        <f>IFERROR(INDEX(INDIRECT("'"&amp;F$1&amp;"'!$V$49:$V$76"),MATCH($A10,INDIRECT("'"&amp;F$1&amp;"'!$A$49:$A$76"),0)),0)</f>
        <v/>
      </c>
      <c r="H10" s="27">
        <f>IFERROR(INDEX(INDIRECT("'"&amp;H$1&amp;"'!$V$18:$V$45"),MATCH($A10,INDIRECT("'"&amp;H$1&amp;"'!$A$18:$A$45"),0)),0)</f>
        <v/>
      </c>
      <c r="I10" s="27">
        <f>IFERROR(INDEX(INDIRECT("'"&amp;H$1&amp;"'!$V$49:$V$76"),MATCH($A10,INDIRECT("'"&amp;H$1&amp;"'!$A$49:$A$76"),0)),0)</f>
        <v/>
      </c>
      <c r="J10" s="27">
        <f>IFERROR(INDEX(INDIRECT("'"&amp;J$1&amp;"'!$V$18:$V$45"),MATCH($A10,INDIRECT("'"&amp;J$1&amp;"'!$A$18:$A$45"),0)),0)</f>
        <v/>
      </c>
      <c r="K10" s="27">
        <f>IFERROR(INDEX(INDIRECT("'"&amp;J$1&amp;"'!$V$49:$V$76"),MATCH($A10,INDIRECT("'"&amp;J$1&amp;"'!$A$49:$A$76"),0)),0)</f>
        <v/>
      </c>
      <c r="L10" s="27">
        <f>IFERROR(INDEX(INDIRECT("'"&amp;L$1&amp;"'!$V$18:$V$45"),MATCH($A10,INDIRECT("'"&amp;L$1&amp;"'!$A$18:$A$45"),0)),0)</f>
        <v/>
      </c>
      <c r="M10" s="27">
        <f>IFERROR(INDEX(INDIRECT("'"&amp;L$1&amp;"'!$V$49:$V$76"),MATCH($A10,INDIRECT("'"&amp;L$1&amp;"'!$A$49:$A$76"),0)),0)</f>
        <v/>
      </c>
      <c r="N10" s="27">
        <f>IFERROR(INDEX(INDIRECT("'"&amp;N$1&amp;"'!$V$18:$V$45"),MATCH($A10,INDIRECT("'"&amp;N$1&amp;"'!$A$18:$A$45"),0)),0)</f>
        <v/>
      </c>
      <c r="O10" s="27">
        <f>IFERROR(INDEX(INDIRECT("'"&amp;N$1&amp;"'!$V$49:$V$76"),MATCH($A10,INDIRECT("'"&amp;N$1&amp;"'!$A$49:$A$76"),0)),0)</f>
        <v/>
      </c>
      <c r="P10" s="27">
        <f>IFERROR(INDEX(INDIRECT("'"&amp;P$1&amp;"'!$V$18:$V$45"),MATCH($A10,INDIRECT("'"&amp;P$1&amp;"'!$A$18:$A$45"),0)),0)</f>
        <v/>
      </c>
      <c r="Q10" s="27">
        <f>IFERROR(INDEX(INDIRECT("'"&amp;P$1&amp;"'!$V$49:$V$76"),MATCH($A10,INDIRECT("'"&amp;P$1&amp;"'!$A$49:$A$76"),0)),0)</f>
        <v/>
      </c>
      <c r="R10" s="27">
        <f>IFERROR(INDEX(INDIRECT("'"&amp;R$1&amp;"'!$V$18:$V$45"),MATCH($A10,INDIRECT("'"&amp;R$1&amp;"'!$A$18:$A$45"),0)),0)</f>
        <v/>
      </c>
      <c r="S10" s="27">
        <f>IFERROR(INDEX(INDIRECT("'"&amp;R$1&amp;"'!$V$49:$V$76"),MATCH($A10,INDIRECT("'"&amp;R$1&amp;"'!$A$49:$A$76"),0)),0)</f>
        <v/>
      </c>
      <c r="T10" s="27">
        <f>IFERROR(INDEX(INDIRECT("'"&amp;T$1&amp;"'!$V$18:$V$45"),MATCH($A10,INDIRECT("'"&amp;T$1&amp;"'!$A$18:$A$45"),0)),0)</f>
        <v/>
      </c>
      <c r="U10" s="27">
        <f>IFERROR(INDEX(INDIRECT("'"&amp;T$1&amp;"'!$V$49:$V$76"),MATCH($A10,INDIRECT("'"&amp;T$1&amp;"'!$A$49:$A$76"),0)),0)</f>
        <v/>
      </c>
      <c r="V10" s="24">
        <f>B10+D10+F10+H10+J10+L10+N10+P10+R10+T10</f>
        <v/>
      </c>
      <c r="W10" s="24">
        <f>C10+E10+G10+I10+K10+M10+O10+Q10+S10+U10</f>
        <v/>
      </c>
      <c r="X10" s="14">
        <f>IF(V10=0,"—",ROUND(W10/V10,2))</f>
        <v/>
      </c>
      <c r="Y10" s="14">
        <f>IFERROR(INDEX(INDIRECT("'"&amp;B$1&amp;"'!$V$80:$V$107"),MATCH($A10,INDIRECT("'"&amp;B$1&amp;"'!$A$80:$A$107"),0)),0)+IFERROR(INDEX(INDIRECT("'"&amp;D$1&amp;"'!$V$80:$V$107"),MATCH($A10,INDIRECT("'"&amp;D$1&amp;"'!$A$80:$A$107"),0)),0)+IFERROR(INDEX(INDIRECT("'"&amp;F$1&amp;"'!$V$80:$V$107"),MATCH($A10,INDIRECT("'"&amp;F$1&amp;"'!$A$80:$A$107"),0)),0)+IFERROR(INDEX(INDIRECT("'"&amp;H$1&amp;"'!$V$80:$V$107"),MATCH($A10,INDIRECT("'"&amp;H$1&amp;"'!$A$80:$A$107"),0)),0)+IFERROR(INDEX(INDIRECT("'"&amp;J$1&amp;"'!$V$80:$V$107"),MATCH($A10,INDIRECT("'"&amp;J$1&amp;"'!$A$80:$A$107"),0)),0)+IFERROR(INDEX(INDIRECT("'"&amp;L$1&amp;"'!$V$80:$V$107"),MATCH($A10,INDIRECT("'"&amp;L$1&amp;"'!$A$80:$A$107"),0)),0)+IFERROR(INDEX(INDIRECT("'"&amp;N$1&amp;"'!$V$80:$V$107"),MATCH($A10,INDIRECT("'"&amp;N$1&amp;"'!$A$80:$A$107"),0)),0)+IFERROR(INDEX(INDIRECT("'"&amp;P$1&amp;"'!$V$80:$V$107"),MATCH($A10,INDIRECT("'"&amp;P$1&amp;"'!$A$80:$A$107"),0)),0)+IFERROR(INDEX(INDIRECT("'"&amp;R$1&amp;"'!$V$80:$V$107"),MATCH($A10,INDIRECT("'"&amp;R$1&amp;"'!$A$80:$A$107"),0)),0)+IFERROR(INDEX(INDIRECT("'"&amp;T$1&amp;"'!$V$80:$V$107"),MATCH($A10,INDIRECT("'"&amp;T$1&amp;"'!$A$80:$A$107"),0)),0)</f>
        <v/>
      </c>
    </row>
    <row r="11">
      <c r="A11" s="23" t="inlineStr">
        <is>
          <t>Finn Cawley</t>
        </is>
      </c>
      <c r="B11" s="27">
        <f>IFERROR(INDEX(INDIRECT("'"&amp;B$1&amp;"'!$V$18:$V$45"),MATCH($A11,INDIRECT("'"&amp;B$1&amp;"'!$A$18:$A$45"),0)),0)</f>
        <v/>
      </c>
      <c r="C11" s="27">
        <f>IFERROR(INDEX(INDIRECT("'"&amp;B$1&amp;"'!$V$49:$V$76"),MATCH($A11,INDIRECT("'"&amp;B$1&amp;"'!$A$49:$A$76"),0)),0)</f>
        <v/>
      </c>
      <c r="D11" s="27">
        <f>IFERROR(INDEX(INDIRECT("'"&amp;D$1&amp;"'!$V$18:$V$45"),MATCH($A11,INDIRECT("'"&amp;D$1&amp;"'!$A$18:$A$45"),0)),0)</f>
        <v/>
      </c>
      <c r="E11" s="27">
        <f>IFERROR(INDEX(INDIRECT("'"&amp;D$1&amp;"'!$V$49:$V$76"),MATCH($A11,INDIRECT("'"&amp;D$1&amp;"'!$A$49:$A$76"),0)),0)</f>
        <v/>
      </c>
      <c r="F11" s="27">
        <f>IFERROR(INDEX(INDIRECT("'"&amp;F$1&amp;"'!$V$18:$V$45"),MATCH($A11,INDIRECT("'"&amp;F$1&amp;"'!$A$18:$A$45"),0)),0)</f>
        <v/>
      </c>
      <c r="G11" s="27">
        <f>IFERROR(INDEX(INDIRECT("'"&amp;F$1&amp;"'!$V$49:$V$76"),MATCH($A11,INDIRECT("'"&amp;F$1&amp;"'!$A$49:$A$76"),0)),0)</f>
        <v/>
      </c>
      <c r="H11" s="27">
        <f>IFERROR(INDEX(INDIRECT("'"&amp;H$1&amp;"'!$V$18:$V$45"),MATCH($A11,INDIRECT("'"&amp;H$1&amp;"'!$A$18:$A$45"),0)),0)</f>
        <v/>
      </c>
      <c r="I11" s="27">
        <f>IFERROR(INDEX(INDIRECT("'"&amp;H$1&amp;"'!$V$49:$V$76"),MATCH($A11,INDIRECT("'"&amp;H$1&amp;"'!$A$49:$A$76"),0)),0)</f>
        <v/>
      </c>
      <c r="J11" s="27">
        <f>IFERROR(INDEX(INDIRECT("'"&amp;J$1&amp;"'!$V$18:$V$45"),MATCH($A11,INDIRECT("'"&amp;J$1&amp;"'!$A$18:$A$45"),0)),0)</f>
        <v/>
      </c>
      <c r="K11" s="27">
        <f>IFERROR(INDEX(INDIRECT("'"&amp;J$1&amp;"'!$V$49:$V$76"),MATCH($A11,INDIRECT("'"&amp;J$1&amp;"'!$A$49:$A$76"),0)),0)</f>
        <v/>
      </c>
      <c r="L11" s="27">
        <f>IFERROR(INDEX(INDIRECT("'"&amp;L$1&amp;"'!$V$18:$V$45"),MATCH($A11,INDIRECT("'"&amp;L$1&amp;"'!$A$18:$A$45"),0)),0)</f>
        <v/>
      </c>
      <c r="M11" s="27">
        <f>IFERROR(INDEX(INDIRECT("'"&amp;L$1&amp;"'!$V$49:$V$76"),MATCH($A11,INDIRECT("'"&amp;L$1&amp;"'!$A$49:$A$76"),0)),0)</f>
        <v/>
      </c>
      <c r="N11" s="27">
        <f>IFERROR(INDEX(INDIRECT("'"&amp;N$1&amp;"'!$V$18:$V$45"),MATCH($A11,INDIRECT("'"&amp;N$1&amp;"'!$A$18:$A$45"),0)),0)</f>
        <v/>
      </c>
      <c r="O11" s="27">
        <f>IFERROR(INDEX(INDIRECT("'"&amp;N$1&amp;"'!$V$49:$V$76"),MATCH($A11,INDIRECT("'"&amp;N$1&amp;"'!$A$49:$A$76"),0)),0)</f>
        <v/>
      </c>
      <c r="P11" s="27">
        <f>IFERROR(INDEX(INDIRECT("'"&amp;P$1&amp;"'!$V$18:$V$45"),MATCH($A11,INDIRECT("'"&amp;P$1&amp;"'!$A$18:$A$45"),0)),0)</f>
        <v/>
      </c>
      <c r="Q11" s="27">
        <f>IFERROR(INDEX(INDIRECT("'"&amp;P$1&amp;"'!$V$49:$V$76"),MATCH($A11,INDIRECT("'"&amp;P$1&amp;"'!$A$49:$A$76"),0)),0)</f>
        <v/>
      </c>
      <c r="R11" s="27">
        <f>IFERROR(INDEX(INDIRECT("'"&amp;R$1&amp;"'!$V$18:$V$45"),MATCH($A11,INDIRECT("'"&amp;R$1&amp;"'!$A$18:$A$45"),0)),0)</f>
        <v/>
      </c>
      <c r="S11" s="27">
        <f>IFERROR(INDEX(INDIRECT("'"&amp;R$1&amp;"'!$V$49:$V$76"),MATCH($A11,INDIRECT("'"&amp;R$1&amp;"'!$A$49:$A$76"),0)),0)</f>
        <v/>
      </c>
      <c r="T11" s="27">
        <f>IFERROR(INDEX(INDIRECT("'"&amp;T$1&amp;"'!$V$18:$V$45"),MATCH($A11,INDIRECT("'"&amp;T$1&amp;"'!$A$18:$A$45"),0)),0)</f>
        <v/>
      </c>
      <c r="U11" s="27">
        <f>IFERROR(INDEX(INDIRECT("'"&amp;T$1&amp;"'!$V$49:$V$76"),MATCH($A11,INDIRECT("'"&amp;T$1&amp;"'!$A$49:$A$76"),0)),0)</f>
        <v/>
      </c>
      <c r="V11" s="24">
        <f>B11+D11+F11+H11+J11+L11+N11+P11+R11+T11</f>
        <v/>
      </c>
      <c r="W11" s="24">
        <f>C11+E11+G11+I11+K11+M11+O11+Q11+S11+U11</f>
        <v/>
      </c>
      <c r="X11" s="14">
        <f>IF(V11=0,"—",ROUND(W11/V11,2))</f>
        <v/>
      </c>
      <c r="Y11" s="14">
        <f>IFERROR(INDEX(INDIRECT("'"&amp;B$1&amp;"'!$V$80:$V$107"),MATCH($A11,INDIRECT("'"&amp;B$1&amp;"'!$A$80:$A$107"),0)),0)+IFERROR(INDEX(INDIRECT("'"&amp;D$1&amp;"'!$V$80:$V$107"),MATCH($A11,INDIRECT("'"&amp;D$1&amp;"'!$A$80:$A$107"),0)),0)+IFERROR(INDEX(INDIRECT("'"&amp;F$1&amp;"'!$V$80:$V$107"),MATCH($A11,INDIRECT("'"&amp;F$1&amp;"'!$A$80:$A$107"),0)),0)+IFERROR(INDEX(INDIRECT("'"&amp;H$1&amp;"'!$V$80:$V$107"),MATCH($A11,INDIRECT("'"&amp;H$1&amp;"'!$A$80:$A$107"),0)),0)+IFERROR(INDEX(INDIRECT("'"&amp;J$1&amp;"'!$V$80:$V$107"),MATCH($A11,INDIRECT("'"&amp;J$1&amp;"'!$A$80:$A$107"),0)),0)+IFERROR(INDEX(INDIRECT("'"&amp;L$1&amp;"'!$V$80:$V$107"),MATCH($A11,INDIRECT("'"&amp;L$1&amp;"'!$A$80:$A$107"),0)),0)+IFERROR(INDEX(INDIRECT("'"&amp;N$1&amp;"'!$V$80:$V$107"),MATCH($A11,INDIRECT("'"&amp;N$1&amp;"'!$A$80:$A$107"),0)),0)+IFERROR(INDEX(INDIRECT("'"&amp;P$1&amp;"'!$V$80:$V$107"),MATCH($A11,INDIRECT("'"&amp;P$1&amp;"'!$A$80:$A$107"),0)),0)+IFERROR(INDEX(INDIRECT("'"&amp;R$1&amp;"'!$V$80:$V$107"),MATCH($A11,INDIRECT("'"&amp;R$1&amp;"'!$A$80:$A$107"),0)),0)+IFERROR(INDEX(INDIRECT("'"&amp;T$1&amp;"'!$V$80:$V$107"),MATCH($A11,INDIRECT("'"&amp;T$1&amp;"'!$A$80:$A$107"),0)),0)</f>
        <v/>
      </c>
    </row>
    <row r="12">
      <c r="A12" s="23" t="inlineStr">
        <is>
          <t>George Barbantan</t>
        </is>
      </c>
      <c r="B12" s="27">
        <f>IFERROR(INDEX(INDIRECT("'"&amp;B$1&amp;"'!$V$18:$V$45"),MATCH($A12,INDIRECT("'"&amp;B$1&amp;"'!$A$18:$A$45"),0)),0)</f>
        <v/>
      </c>
      <c r="C12" s="27">
        <f>IFERROR(INDEX(INDIRECT("'"&amp;B$1&amp;"'!$V$49:$V$76"),MATCH($A12,INDIRECT("'"&amp;B$1&amp;"'!$A$49:$A$76"),0)),0)</f>
        <v/>
      </c>
      <c r="D12" s="27">
        <f>IFERROR(INDEX(INDIRECT("'"&amp;D$1&amp;"'!$V$18:$V$45"),MATCH($A12,INDIRECT("'"&amp;D$1&amp;"'!$A$18:$A$45"),0)),0)</f>
        <v/>
      </c>
      <c r="E12" s="27">
        <f>IFERROR(INDEX(INDIRECT("'"&amp;D$1&amp;"'!$V$49:$V$76"),MATCH($A12,INDIRECT("'"&amp;D$1&amp;"'!$A$49:$A$76"),0)),0)</f>
        <v/>
      </c>
      <c r="F12" s="27">
        <f>IFERROR(INDEX(INDIRECT("'"&amp;F$1&amp;"'!$V$18:$V$45"),MATCH($A12,INDIRECT("'"&amp;F$1&amp;"'!$A$18:$A$45"),0)),0)</f>
        <v/>
      </c>
      <c r="G12" s="27">
        <f>IFERROR(INDEX(INDIRECT("'"&amp;F$1&amp;"'!$V$49:$V$76"),MATCH($A12,INDIRECT("'"&amp;F$1&amp;"'!$A$49:$A$76"),0)),0)</f>
        <v/>
      </c>
      <c r="H12" s="27">
        <f>IFERROR(INDEX(INDIRECT("'"&amp;H$1&amp;"'!$V$18:$V$45"),MATCH($A12,INDIRECT("'"&amp;H$1&amp;"'!$A$18:$A$45"),0)),0)</f>
        <v/>
      </c>
      <c r="I12" s="27">
        <f>IFERROR(INDEX(INDIRECT("'"&amp;H$1&amp;"'!$V$49:$V$76"),MATCH($A12,INDIRECT("'"&amp;H$1&amp;"'!$A$49:$A$76"),0)),0)</f>
        <v/>
      </c>
      <c r="J12" s="27">
        <f>IFERROR(INDEX(INDIRECT("'"&amp;J$1&amp;"'!$V$18:$V$45"),MATCH($A12,INDIRECT("'"&amp;J$1&amp;"'!$A$18:$A$45"),0)),0)</f>
        <v/>
      </c>
      <c r="K12" s="27">
        <f>IFERROR(INDEX(INDIRECT("'"&amp;J$1&amp;"'!$V$49:$V$76"),MATCH($A12,INDIRECT("'"&amp;J$1&amp;"'!$A$49:$A$76"),0)),0)</f>
        <v/>
      </c>
      <c r="L12" s="27">
        <f>IFERROR(INDEX(INDIRECT("'"&amp;L$1&amp;"'!$V$18:$V$45"),MATCH($A12,INDIRECT("'"&amp;L$1&amp;"'!$A$18:$A$45"),0)),0)</f>
        <v/>
      </c>
      <c r="M12" s="27">
        <f>IFERROR(INDEX(INDIRECT("'"&amp;L$1&amp;"'!$V$49:$V$76"),MATCH($A12,INDIRECT("'"&amp;L$1&amp;"'!$A$49:$A$76"),0)),0)</f>
        <v/>
      </c>
      <c r="N12" s="27">
        <f>IFERROR(INDEX(INDIRECT("'"&amp;N$1&amp;"'!$V$18:$V$45"),MATCH($A12,INDIRECT("'"&amp;N$1&amp;"'!$A$18:$A$45"),0)),0)</f>
        <v/>
      </c>
      <c r="O12" s="27">
        <f>IFERROR(INDEX(INDIRECT("'"&amp;N$1&amp;"'!$V$49:$V$76"),MATCH($A12,INDIRECT("'"&amp;N$1&amp;"'!$A$49:$A$76"),0)),0)</f>
        <v/>
      </c>
      <c r="P12" s="27">
        <f>IFERROR(INDEX(INDIRECT("'"&amp;P$1&amp;"'!$V$18:$V$45"),MATCH($A12,INDIRECT("'"&amp;P$1&amp;"'!$A$18:$A$45"),0)),0)</f>
        <v/>
      </c>
      <c r="Q12" s="27">
        <f>IFERROR(INDEX(INDIRECT("'"&amp;P$1&amp;"'!$V$49:$V$76"),MATCH($A12,INDIRECT("'"&amp;P$1&amp;"'!$A$49:$A$76"),0)),0)</f>
        <v/>
      </c>
      <c r="R12" s="27">
        <f>IFERROR(INDEX(INDIRECT("'"&amp;R$1&amp;"'!$V$18:$V$45"),MATCH($A12,INDIRECT("'"&amp;R$1&amp;"'!$A$18:$A$45"),0)),0)</f>
        <v/>
      </c>
      <c r="S12" s="27">
        <f>IFERROR(INDEX(INDIRECT("'"&amp;R$1&amp;"'!$V$49:$V$76"),MATCH($A12,INDIRECT("'"&amp;R$1&amp;"'!$A$49:$A$76"),0)),0)</f>
        <v/>
      </c>
      <c r="T12" s="27">
        <f>IFERROR(INDEX(INDIRECT("'"&amp;T$1&amp;"'!$V$18:$V$45"),MATCH($A12,INDIRECT("'"&amp;T$1&amp;"'!$A$18:$A$45"),0)),0)</f>
        <v/>
      </c>
      <c r="U12" s="27">
        <f>IFERROR(INDEX(INDIRECT("'"&amp;T$1&amp;"'!$V$49:$V$76"),MATCH($A12,INDIRECT("'"&amp;T$1&amp;"'!$A$49:$A$76"),0)),0)</f>
        <v/>
      </c>
      <c r="V12" s="24">
        <f>B12+D12+F12+H12+J12+L12+N12+P12+R12+T12</f>
        <v/>
      </c>
      <c r="W12" s="24">
        <f>C12+E12+G12+I12+K12+M12+O12+Q12+S12+U12</f>
        <v/>
      </c>
      <c r="X12" s="14">
        <f>IF(V12=0,"—",ROUND(W12/V12,2))</f>
        <v/>
      </c>
      <c r="Y12" s="14">
        <f>IFERROR(INDEX(INDIRECT("'"&amp;B$1&amp;"'!$V$80:$V$107"),MATCH($A12,INDIRECT("'"&amp;B$1&amp;"'!$A$80:$A$107"),0)),0)+IFERROR(INDEX(INDIRECT("'"&amp;D$1&amp;"'!$V$80:$V$107"),MATCH($A12,INDIRECT("'"&amp;D$1&amp;"'!$A$80:$A$107"),0)),0)+IFERROR(INDEX(INDIRECT("'"&amp;F$1&amp;"'!$V$80:$V$107"),MATCH($A12,INDIRECT("'"&amp;F$1&amp;"'!$A$80:$A$107"),0)),0)+IFERROR(INDEX(INDIRECT("'"&amp;H$1&amp;"'!$V$80:$V$107"),MATCH($A12,INDIRECT("'"&amp;H$1&amp;"'!$A$80:$A$107"),0)),0)+IFERROR(INDEX(INDIRECT("'"&amp;J$1&amp;"'!$V$80:$V$107"),MATCH($A12,INDIRECT("'"&amp;J$1&amp;"'!$A$80:$A$107"),0)),0)+IFERROR(INDEX(INDIRECT("'"&amp;L$1&amp;"'!$V$80:$V$107"),MATCH($A12,INDIRECT("'"&amp;L$1&amp;"'!$A$80:$A$107"),0)),0)+IFERROR(INDEX(INDIRECT("'"&amp;N$1&amp;"'!$V$80:$V$107"),MATCH($A12,INDIRECT("'"&amp;N$1&amp;"'!$A$80:$A$107"),0)),0)+IFERROR(INDEX(INDIRECT("'"&amp;P$1&amp;"'!$V$80:$V$107"),MATCH($A12,INDIRECT("'"&amp;P$1&amp;"'!$A$80:$A$107"),0)),0)+IFERROR(INDEX(INDIRECT("'"&amp;R$1&amp;"'!$V$80:$V$107"),MATCH($A12,INDIRECT("'"&amp;R$1&amp;"'!$A$80:$A$107"),0)),0)+IFERROR(INDEX(INDIRECT("'"&amp;T$1&amp;"'!$V$80:$V$107"),MATCH($A12,INDIRECT("'"&amp;T$1&amp;"'!$A$80:$A$107"),0)),0)</f>
        <v/>
      </c>
    </row>
    <row r="13">
      <c r="A13" s="23" t="inlineStr">
        <is>
          <t>Henry Linklater</t>
        </is>
      </c>
      <c r="B13" s="27">
        <f>IFERROR(INDEX(INDIRECT("'"&amp;B$1&amp;"'!$V$18:$V$45"),MATCH($A13,INDIRECT("'"&amp;B$1&amp;"'!$A$18:$A$45"),0)),0)</f>
        <v/>
      </c>
      <c r="C13" s="27">
        <f>IFERROR(INDEX(INDIRECT("'"&amp;B$1&amp;"'!$V$49:$V$76"),MATCH($A13,INDIRECT("'"&amp;B$1&amp;"'!$A$49:$A$76"),0)),0)</f>
        <v/>
      </c>
      <c r="D13" s="27">
        <f>IFERROR(INDEX(INDIRECT("'"&amp;D$1&amp;"'!$V$18:$V$45"),MATCH($A13,INDIRECT("'"&amp;D$1&amp;"'!$A$18:$A$45"),0)),0)</f>
        <v/>
      </c>
      <c r="E13" s="27">
        <f>IFERROR(INDEX(INDIRECT("'"&amp;D$1&amp;"'!$V$49:$V$76"),MATCH($A13,INDIRECT("'"&amp;D$1&amp;"'!$A$49:$A$76"),0)),0)</f>
        <v/>
      </c>
      <c r="F13" s="27">
        <f>IFERROR(INDEX(INDIRECT("'"&amp;F$1&amp;"'!$V$18:$V$45"),MATCH($A13,INDIRECT("'"&amp;F$1&amp;"'!$A$18:$A$45"),0)),0)</f>
        <v/>
      </c>
      <c r="G13" s="27">
        <f>IFERROR(INDEX(INDIRECT("'"&amp;F$1&amp;"'!$V$49:$V$76"),MATCH($A13,INDIRECT("'"&amp;F$1&amp;"'!$A$49:$A$76"),0)),0)</f>
        <v/>
      </c>
      <c r="H13" s="27">
        <f>IFERROR(INDEX(INDIRECT("'"&amp;H$1&amp;"'!$V$18:$V$45"),MATCH($A13,INDIRECT("'"&amp;H$1&amp;"'!$A$18:$A$45"),0)),0)</f>
        <v/>
      </c>
      <c r="I13" s="27">
        <f>IFERROR(INDEX(INDIRECT("'"&amp;H$1&amp;"'!$V$49:$V$76"),MATCH($A13,INDIRECT("'"&amp;H$1&amp;"'!$A$49:$A$76"),0)),0)</f>
        <v/>
      </c>
      <c r="J13" s="27">
        <f>IFERROR(INDEX(INDIRECT("'"&amp;J$1&amp;"'!$V$18:$V$45"),MATCH($A13,INDIRECT("'"&amp;J$1&amp;"'!$A$18:$A$45"),0)),0)</f>
        <v/>
      </c>
      <c r="K13" s="27">
        <f>IFERROR(INDEX(INDIRECT("'"&amp;J$1&amp;"'!$V$49:$V$76"),MATCH($A13,INDIRECT("'"&amp;J$1&amp;"'!$A$49:$A$76"),0)),0)</f>
        <v/>
      </c>
      <c r="L13" s="27">
        <f>IFERROR(INDEX(INDIRECT("'"&amp;L$1&amp;"'!$V$18:$V$45"),MATCH($A13,INDIRECT("'"&amp;L$1&amp;"'!$A$18:$A$45"),0)),0)</f>
        <v/>
      </c>
      <c r="M13" s="27">
        <f>IFERROR(INDEX(INDIRECT("'"&amp;L$1&amp;"'!$V$49:$V$76"),MATCH($A13,INDIRECT("'"&amp;L$1&amp;"'!$A$49:$A$76"),0)),0)</f>
        <v/>
      </c>
      <c r="N13" s="27">
        <f>IFERROR(INDEX(INDIRECT("'"&amp;N$1&amp;"'!$V$18:$V$45"),MATCH($A13,INDIRECT("'"&amp;N$1&amp;"'!$A$18:$A$45"),0)),0)</f>
        <v/>
      </c>
      <c r="O13" s="27">
        <f>IFERROR(INDEX(INDIRECT("'"&amp;N$1&amp;"'!$V$49:$V$76"),MATCH($A13,INDIRECT("'"&amp;N$1&amp;"'!$A$49:$A$76"),0)),0)</f>
        <v/>
      </c>
      <c r="P13" s="27">
        <f>IFERROR(INDEX(INDIRECT("'"&amp;P$1&amp;"'!$V$18:$V$45"),MATCH($A13,INDIRECT("'"&amp;P$1&amp;"'!$A$18:$A$45"),0)),0)</f>
        <v/>
      </c>
      <c r="Q13" s="27">
        <f>IFERROR(INDEX(INDIRECT("'"&amp;P$1&amp;"'!$V$49:$V$76"),MATCH($A13,INDIRECT("'"&amp;P$1&amp;"'!$A$49:$A$76"),0)),0)</f>
        <v/>
      </c>
      <c r="R13" s="27">
        <f>IFERROR(INDEX(INDIRECT("'"&amp;R$1&amp;"'!$V$18:$V$45"),MATCH($A13,INDIRECT("'"&amp;R$1&amp;"'!$A$18:$A$45"),0)),0)</f>
        <v/>
      </c>
      <c r="S13" s="27">
        <f>IFERROR(INDEX(INDIRECT("'"&amp;R$1&amp;"'!$V$49:$V$76"),MATCH($A13,INDIRECT("'"&amp;R$1&amp;"'!$A$49:$A$76"),0)),0)</f>
        <v/>
      </c>
      <c r="T13" s="27">
        <f>IFERROR(INDEX(INDIRECT("'"&amp;T$1&amp;"'!$V$18:$V$45"),MATCH($A13,INDIRECT("'"&amp;T$1&amp;"'!$A$18:$A$45"),0)),0)</f>
        <v/>
      </c>
      <c r="U13" s="27">
        <f>IFERROR(INDEX(INDIRECT("'"&amp;T$1&amp;"'!$V$49:$V$76"),MATCH($A13,INDIRECT("'"&amp;T$1&amp;"'!$A$49:$A$76"),0)),0)</f>
        <v/>
      </c>
      <c r="V13" s="24">
        <f>B13+D13+F13+H13+J13+L13+N13+P13+R13+T13</f>
        <v/>
      </c>
      <c r="W13" s="24">
        <f>C13+E13+G13+I13+K13+M13+O13+Q13+S13+U13</f>
        <v/>
      </c>
      <c r="X13" s="14">
        <f>IF(V13=0,"—",ROUND(W13/V13,2))</f>
        <v/>
      </c>
      <c r="Y13" s="14">
        <f>IFERROR(INDEX(INDIRECT("'"&amp;B$1&amp;"'!$V$80:$V$107"),MATCH($A13,INDIRECT("'"&amp;B$1&amp;"'!$A$80:$A$107"),0)),0)+IFERROR(INDEX(INDIRECT("'"&amp;D$1&amp;"'!$V$80:$V$107"),MATCH($A13,INDIRECT("'"&amp;D$1&amp;"'!$A$80:$A$107"),0)),0)+IFERROR(INDEX(INDIRECT("'"&amp;F$1&amp;"'!$V$80:$V$107"),MATCH($A13,INDIRECT("'"&amp;F$1&amp;"'!$A$80:$A$107"),0)),0)+IFERROR(INDEX(INDIRECT("'"&amp;H$1&amp;"'!$V$80:$V$107"),MATCH($A13,INDIRECT("'"&amp;H$1&amp;"'!$A$80:$A$107"),0)),0)+IFERROR(INDEX(INDIRECT("'"&amp;J$1&amp;"'!$V$80:$V$107"),MATCH($A13,INDIRECT("'"&amp;J$1&amp;"'!$A$80:$A$107"),0)),0)+IFERROR(INDEX(INDIRECT("'"&amp;L$1&amp;"'!$V$80:$V$107"),MATCH($A13,INDIRECT("'"&amp;L$1&amp;"'!$A$80:$A$107"),0)),0)+IFERROR(INDEX(INDIRECT("'"&amp;N$1&amp;"'!$V$80:$V$107"),MATCH($A13,INDIRECT("'"&amp;N$1&amp;"'!$A$80:$A$107"),0)),0)+IFERROR(INDEX(INDIRECT("'"&amp;P$1&amp;"'!$V$80:$V$107"),MATCH($A13,INDIRECT("'"&amp;P$1&amp;"'!$A$80:$A$107"),0)),0)+IFERROR(INDEX(INDIRECT("'"&amp;R$1&amp;"'!$V$80:$V$107"),MATCH($A13,INDIRECT("'"&amp;R$1&amp;"'!$A$80:$A$107"),0)),0)+IFERROR(INDEX(INDIRECT("'"&amp;T$1&amp;"'!$V$80:$V$107"),MATCH($A13,INDIRECT("'"&amp;T$1&amp;"'!$A$80:$A$107"),0)),0)</f>
        <v/>
      </c>
    </row>
    <row r="14">
      <c r="A14" s="23" t="inlineStr">
        <is>
          <t>Isaac Mond</t>
        </is>
      </c>
      <c r="B14" s="27">
        <f>IFERROR(INDEX(INDIRECT("'"&amp;B$1&amp;"'!$V$18:$V$45"),MATCH($A14,INDIRECT("'"&amp;B$1&amp;"'!$A$18:$A$45"),0)),0)</f>
        <v/>
      </c>
      <c r="C14" s="27">
        <f>IFERROR(INDEX(INDIRECT("'"&amp;B$1&amp;"'!$V$49:$V$76"),MATCH($A14,INDIRECT("'"&amp;B$1&amp;"'!$A$49:$A$76"),0)),0)</f>
        <v/>
      </c>
      <c r="D14" s="27">
        <f>IFERROR(INDEX(INDIRECT("'"&amp;D$1&amp;"'!$V$18:$V$45"),MATCH($A14,INDIRECT("'"&amp;D$1&amp;"'!$A$18:$A$45"),0)),0)</f>
        <v/>
      </c>
      <c r="E14" s="27">
        <f>IFERROR(INDEX(INDIRECT("'"&amp;D$1&amp;"'!$V$49:$V$76"),MATCH($A14,INDIRECT("'"&amp;D$1&amp;"'!$A$49:$A$76"),0)),0)</f>
        <v/>
      </c>
      <c r="F14" s="27">
        <f>IFERROR(INDEX(INDIRECT("'"&amp;F$1&amp;"'!$V$18:$V$45"),MATCH($A14,INDIRECT("'"&amp;F$1&amp;"'!$A$18:$A$45"),0)),0)</f>
        <v/>
      </c>
      <c r="G14" s="27">
        <f>IFERROR(INDEX(INDIRECT("'"&amp;F$1&amp;"'!$V$49:$V$76"),MATCH($A14,INDIRECT("'"&amp;F$1&amp;"'!$A$49:$A$76"),0)),0)</f>
        <v/>
      </c>
      <c r="H14" s="27">
        <f>IFERROR(INDEX(INDIRECT("'"&amp;H$1&amp;"'!$V$18:$V$45"),MATCH($A14,INDIRECT("'"&amp;H$1&amp;"'!$A$18:$A$45"),0)),0)</f>
        <v/>
      </c>
      <c r="I14" s="27">
        <f>IFERROR(INDEX(INDIRECT("'"&amp;H$1&amp;"'!$V$49:$V$76"),MATCH($A14,INDIRECT("'"&amp;H$1&amp;"'!$A$49:$A$76"),0)),0)</f>
        <v/>
      </c>
      <c r="J14" s="27">
        <f>IFERROR(INDEX(INDIRECT("'"&amp;J$1&amp;"'!$V$18:$V$45"),MATCH($A14,INDIRECT("'"&amp;J$1&amp;"'!$A$18:$A$45"),0)),0)</f>
        <v/>
      </c>
      <c r="K14" s="27">
        <f>IFERROR(INDEX(INDIRECT("'"&amp;J$1&amp;"'!$V$49:$V$76"),MATCH($A14,INDIRECT("'"&amp;J$1&amp;"'!$A$49:$A$76"),0)),0)</f>
        <v/>
      </c>
      <c r="L14" s="27">
        <f>IFERROR(INDEX(INDIRECT("'"&amp;L$1&amp;"'!$V$18:$V$45"),MATCH($A14,INDIRECT("'"&amp;L$1&amp;"'!$A$18:$A$45"),0)),0)</f>
        <v/>
      </c>
      <c r="M14" s="27">
        <f>IFERROR(INDEX(INDIRECT("'"&amp;L$1&amp;"'!$V$49:$V$76"),MATCH($A14,INDIRECT("'"&amp;L$1&amp;"'!$A$49:$A$76"),0)),0)</f>
        <v/>
      </c>
      <c r="N14" s="27">
        <f>IFERROR(INDEX(INDIRECT("'"&amp;N$1&amp;"'!$V$18:$V$45"),MATCH($A14,INDIRECT("'"&amp;N$1&amp;"'!$A$18:$A$45"),0)),0)</f>
        <v/>
      </c>
      <c r="O14" s="27">
        <f>IFERROR(INDEX(INDIRECT("'"&amp;N$1&amp;"'!$V$49:$V$76"),MATCH($A14,INDIRECT("'"&amp;N$1&amp;"'!$A$49:$A$76"),0)),0)</f>
        <v/>
      </c>
      <c r="P14" s="27">
        <f>IFERROR(INDEX(INDIRECT("'"&amp;P$1&amp;"'!$V$18:$V$45"),MATCH($A14,INDIRECT("'"&amp;P$1&amp;"'!$A$18:$A$45"),0)),0)</f>
        <v/>
      </c>
      <c r="Q14" s="27">
        <f>IFERROR(INDEX(INDIRECT("'"&amp;P$1&amp;"'!$V$49:$V$76"),MATCH($A14,INDIRECT("'"&amp;P$1&amp;"'!$A$49:$A$76"),0)),0)</f>
        <v/>
      </c>
      <c r="R14" s="27">
        <f>IFERROR(INDEX(INDIRECT("'"&amp;R$1&amp;"'!$V$18:$V$45"),MATCH($A14,INDIRECT("'"&amp;R$1&amp;"'!$A$18:$A$45"),0)),0)</f>
        <v/>
      </c>
      <c r="S14" s="27">
        <f>IFERROR(INDEX(INDIRECT("'"&amp;R$1&amp;"'!$V$49:$V$76"),MATCH($A14,INDIRECT("'"&amp;R$1&amp;"'!$A$49:$A$76"),0)),0)</f>
        <v/>
      </c>
      <c r="T14" s="27">
        <f>IFERROR(INDEX(INDIRECT("'"&amp;T$1&amp;"'!$V$18:$V$45"),MATCH($A14,INDIRECT("'"&amp;T$1&amp;"'!$A$18:$A$45"),0)),0)</f>
        <v/>
      </c>
      <c r="U14" s="27">
        <f>IFERROR(INDEX(INDIRECT("'"&amp;T$1&amp;"'!$V$49:$V$76"),MATCH($A14,INDIRECT("'"&amp;T$1&amp;"'!$A$49:$A$76"),0)),0)</f>
        <v/>
      </c>
      <c r="V14" s="24">
        <f>B14+D14+F14+H14+J14+L14+N14+P14+R14+T14</f>
        <v/>
      </c>
      <c r="W14" s="24">
        <f>C14+E14+G14+I14+K14+M14+O14+Q14+S14+U14</f>
        <v/>
      </c>
      <c r="X14" s="14">
        <f>IF(V14=0,"—",ROUND(W14/V14,2))</f>
        <v/>
      </c>
      <c r="Y14" s="14">
        <f>IFERROR(INDEX(INDIRECT("'"&amp;B$1&amp;"'!$V$80:$V$107"),MATCH($A14,INDIRECT("'"&amp;B$1&amp;"'!$A$80:$A$107"),0)),0)+IFERROR(INDEX(INDIRECT("'"&amp;D$1&amp;"'!$V$80:$V$107"),MATCH($A14,INDIRECT("'"&amp;D$1&amp;"'!$A$80:$A$107"),0)),0)+IFERROR(INDEX(INDIRECT("'"&amp;F$1&amp;"'!$V$80:$V$107"),MATCH($A14,INDIRECT("'"&amp;F$1&amp;"'!$A$80:$A$107"),0)),0)+IFERROR(INDEX(INDIRECT("'"&amp;H$1&amp;"'!$V$80:$V$107"),MATCH($A14,INDIRECT("'"&amp;H$1&amp;"'!$A$80:$A$107"),0)),0)+IFERROR(INDEX(INDIRECT("'"&amp;J$1&amp;"'!$V$80:$V$107"),MATCH($A14,INDIRECT("'"&amp;J$1&amp;"'!$A$80:$A$107"),0)),0)+IFERROR(INDEX(INDIRECT("'"&amp;L$1&amp;"'!$V$80:$V$107"),MATCH($A14,INDIRECT("'"&amp;L$1&amp;"'!$A$80:$A$107"),0)),0)+IFERROR(INDEX(INDIRECT("'"&amp;N$1&amp;"'!$V$80:$V$107"),MATCH($A14,INDIRECT("'"&amp;N$1&amp;"'!$A$80:$A$107"),0)),0)+IFERROR(INDEX(INDIRECT("'"&amp;P$1&amp;"'!$V$80:$V$107"),MATCH($A14,INDIRECT("'"&amp;P$1&amp;"'!$A$80:$A$107"),0)),0)+IFERROR(INDEX(INDIRECT("'"&amp;R$1&amp;"'!$V$80:$V$107"),MATCH($A14,INDIRECT("'"&amp;R$1&amp;"'!$A$80:$A$107"),0)),0)+IFERROR(INDEX(INDIRECT("'"&amp;T$1&amp;"'!$V$80:$V$107"),MATCH($A14,INDIRECT("'"&amp;T$1&amp;"'!$A$80:$A$107"),0)),0)</f>
        <v/>
      </c>
    </row>
    <row r="15">
      <c r="A15" s="23" t="inlineStr">
        <is>
          <t>Jake Harrison</t>
        </is>
      </c>
      <c r="B15" s="27">
        <f>IFERROR(INDEX(INDIRECT("'"&amp;B$1&amp;"'!$V$18:$V$45"),MATCH($A15,INDIRECT("'"&amp;B$1&amp;"'!$A$18:$A$45"),0)),0)</f>
        <v/>
      </c>
      <c r="C15" s="27">
        <f>IFERROR(INDEX(INDIRECT("'"&amp;B$1&amp;"'!$V$49:$V$76"),MATCH($A15,INDIRECT("'"&amp;B$1&amp;"'!$A$49:$A$76"),0)),0)</f>
        <v/>
      </c>
      <c r="D15" s="27">
        <f>IFERROR(INDEX(INDIRECT("'"&amp;D$1&amp;"'!$V$18:$V$45"),MATCH($A15,INDIRECT("'"&amp;D$1&amp;"'!$A$18:$A$45"),0)),0)</f>
        <v/>
      </c>
      <c r="E15" s="27">
        <f>IFERROR(INDEX(INDIRECT("'"&amp;D$1&amp;"'!$V$49:$V$76"),MATCH($A15,INDIRECT("'"&amp;D$1&amp;"'!$A$49:$A$76"),0)),0)</f>
        <v/>
      </c>
      <c r="F15" s="27">
        <f>IFERROR(INDEX(INDIRECT("'"&amp;F$1&amp;"'!$V$18:$V$45"),MATCH($A15,INDIRECT("'"&amp;F$1&amp;"'!$A$18:$A$45"),0)),0)</f>
        <v/>
      </c>
      <c r="G15" s="27">
        <f>IFERROR(INDEX(INDIRECT("'"&amp;F$1&amp;"'!$V$49:$V$76"),MATCH($A15,INDIRECT("'"&amp;F$1&amp;"'!$A$49:$A$76"),0)),0)</f>
        <v/>
      </c>
      <c r="H15" s="27">
        <f>IFERROR(INDEX(INDIRECT("'"&amp;H$1&amp;"'!$V$18:$V$45"),MATCH($A15,INDIRECT("'"&amp;H$1&amp;"'!$A$18:$A$45"),0)),0)</f>
        <v/>
      </c>
      <c r="I15" s="27">
        <f>IFERROR(INDEX(INDIRECT("'"&amp;H$1&amp;"'!$V$49:$V$76"),MATCH($A15,INDIRECT("'"&amp;H$1&amp;"'!$A$49:$A$76"),0)),0)</f>
        <v/>
      </c>
      <c r="J15" s="27">
        <f>IFERROR(INDEX(INDIRECT("'"&amp;J$1&amp;"'!$V$18:$V$45"),MATCH($A15,INDIRECT("'"&amp;J$1&amp;"'!$A$18:$A$45"),0)),0)</f>
        <v/>
      </c>
      <c r="K15" s="27">
        <f>IFERROR(INDEX(INDIRECT("'"&amp;J$1&amp;"'!$V$49:$V$76"),MATCH($A15,INDIRECT("'"&amp;J$1&amp;"'!$A$49:$A$76"),0)),0)</f>
        <v/>
      </c>
      <c r="L15" s="27">
        <f>IFERROR(INDEX(INDIRECT("'"&amp;L$1&amp;"'!$V$18:$V$45"),MATCH($A15,INDIRECT("'"&amp;L$1&amp;"'!$A$18:$A$45"),0)),0)</f>
        <v/>
      </c>
      <c r="M15" s="27">
        <f>IFERROR(INDEX(INDIRECT("'"&amp;L$1&amp;"'!$V$49:$V$76"),MATCH($A15,INDIRECT("'"&amp;L$1&amp;"'!$A$49:$A$76"),0)),0)</f>
        <v/>
      </c>
      <c r="N15" s="27">
        <f>IFERROR(INDEX(INDIRECT("'"&amp;N$1&amp;"'!$V$18:$V$45"),MATCH($A15,INDIRECT("'"&amp;N$1&amp;"'!$A$18:$A$45"),0)),0)</f>
        <v/>
      </c>
      <c r="O15" s="27">
        <f>IFERROR(INDEX(INDIRECT("'"&amp;N$1&amp;"'!$V$49:$V$76"),MATCH($A15,INDIRECT("'"&amp;N$1&amp;"'!$A$49:$A$76"),0)),0)</f>
        <v/>
      </c>
      <c r="P15" s="27">
        <f>IFERROR(INDEX(INDIRECT("'"&amp;P$1&amp;"'!$V$18:$V$45"),MATCH($A15,INDIRECT("'"&amp;P$1&amp;"'!$A$18:$A$45"),0)),0)</f>
        <v/>
      </c>
      <c r="Q15" s="27">
        <f>IFERROR(INDEX(INDIRECT("'"&amp;P$1&amp;"'!$V$49:$V$76"),MATCH($A15,INDIRECT("'"&amp;P$1&amp;"'!$A$49:$A$76"),0)),0)</f>
        <v/>
      </c>
      <c r="R15" s="27">
        <f>IFERROR(INDEX(INDIRECT("'"&amp;R$1&amp;"'!$V$18:$V$45"),MATCH($A15,INDIRECT("'"&amp;R$1&amp;"'!$A$18:$A$45"),0)),0)</f>
        <v/>
      </c>
      <c r="S15" s="27">
        <f>IFERROR(INDEX(INDIRECT("'"&amp;R$1&amp;"'!$V$49:$V$76"),MATCH($A15,INDIRECT("'"&amp;R$1&amp;"'!$A$49:$A$76"),0)),0)</f>
        <v/>
      </c>
      <c r="T15" s="27">
        <f>IFERROR(INDEX(INDIRECT("'"&amp;T$1&amp;"'!$V$18:$V$45"),MATCH($A15,INDIRECT("'"&amp;T$1&amp;"'!$A$18:$A$45"),0)),0)</f>
        <v/>
      </c>
      <c r="U15" s="27">
        <f>IFERROR(INDEX(INDIRECT("'"&amp;T$1&amp;"'!$V$49:$V$76"),MATCH($A15,INDIRECT("'"&amp;T$1&amp;"'!$A$49:$A$76"),0)),0)</f>
        <v/>
      </c>
      <c r="V15" s="24">
        <f>B15+D15+F15+H15+J15+L15+N15+P15+R15+T15</f>
        <v/>
      </c>
      <c r="W15" s="24">
        <f>C15+E15+G15+I15+K15+M15+O15+Q15+S15+U15</f>
        <v/>
      </c>
      <c r="X15" s="14">
        <f>IF(V15=0,"—",ROUND(W15/V15,2))</f>
        <v/>
      </c>
      <c r="Y15" s="14">
        <f>IFERROR(INDEX(INDIRECT("'"&amp;B$1&amp;"'!$V$80:$V$107"),MATCH($A15,INDIRECT("'"&amp;B$1&amp;"'!$A$80:$A$107"),0)),0)+IFERROR(INDEX(INDIRECT("'"&amp;D$1&amp;"'!$V$80:$V$107"),MATCH($A15,INDIRECT("'"&amp;D$1&amp;"'!$A$80:$A$107"),0)),0)+IFERROR(INDEX(INDIRECT("'"&amp;F$1&amp;"'!$V$80:$V$107"),MATCH($A15,INDIRECT("'"&amp;F$1&amp;"'!$A$80:$A$107"),0)),0)+IFERROR(INDEX(INDIRECT("'"&amp;H$1&amp;"'!$V$80:$V$107"),MATCH($A15,INDIRECT("'"&amp;H$1&amp;"'!$A$80:$A$107"),0)),0)+IFERROR(INDEX(INDIRECT("'"&amp;J$1&amp;"'!$V$80:$V$107"),MATCH($A15,INDIRECT("'"&amp;J$1&amp;"'!$A$80:$A$107"),0)),0)+IFERROR(INDEX(INDIRECT("'"&amp;L$1&amp;"'!$V$80:$V$107"),MATCH($A15,INDIRECT("'"&amp;L$1&amp;"'!$A$80:$A$107"),0)),0)+IFERROR(INDEX(INDIRECT("'"&amp;N$1&amp;"'!$V$80:$V$107"),MATCH($A15,INDIRECT("'"&amp;N$1&amp;"'!$A$80:$A$107"),0)),0)+IFERROR(INDEX(INDIRECT("'"&amp;P$1&amp;"'!$V$80:$V$107"),MATCH($A15,INDIRECT("'"&amp;P$1&amp;"'!$A$80:$A$107"),0)),0)+IFERROR(INDEX(INDIRECT("'"&amp;R$1&amp;"'!$V$80:$V$107"),MATCH($A15,INDIRECT("'"&amp;R$1&amp;"'!$A$80:$A$107"),0)),0)+IFERROR(INDEX(INDIRECT("'"&amp;T$1&amp;"'!$V$80:$V$107"),MATCH($A15,INDIRECT("'"&amp;T$1&amp;"'!$A$80:$A$107"),0)),0)</f>
        <v/>
      </c>
    </row>
    <row r="16">
      <c r="A16" s="23" t="inlineStr">
        <is>
          <t>Jake Ringer</t>
        </is>
      </c>
      <c r="B16" s="27">
        <f>IFERROR(INDEX(INDIRECT("'"&amp;B$1&amp;"'!$V$18:$V$45"),MATCH($A16,INDIRECT("'"&amp;B$1&amp;"'!$A$18:$A$45"),0)),0)</f>
        <v/>
      </c>
      <c r="C16" s="27">
        <f>IFERROR(INDEX(INDIRECT("'"&amp;B$1&amp;"'!$V$49:$V$76"),MATCH($A16,INDIRECT("'"&amp;B$1&amp;"'!$A$49:$A$76"),0)),0)</f>
        <v/>
      </c>
      <c r="D16" s="27">
        <f>IFERROR(INDEX(INDIRECT("'"&amp;D$1&amp;"'!$V$18:$V$45"),MATCH($A16,INDIRECT("'"&amp;D$1&amp;"'!$A$18:$A$45"),0)),0)</f>
        <v/>
      </c>
      <c r="E16" s="27">
        <f>IFERROR(INDEX(INDIRECT("'"&amp;D$1&amp;"'!$V$49:$V$76"),MATCH($A16,INDIRECT("'"&amp;D$1&amp;"'!$A$49:$A$76"),0)),0)</f>
        <v/>
      </c>
      <c r="F16" s="27">
        <f>IFERROR(INDEX(INDIRECT("'"&amp;F$1&amp;"'!$V$18:$V$45"),MATCH($A16,INDIRECT("'"&amp;F$1&amp;"'!$A$18:$A$45"),0)),0)</f>
        <v/>
      </c>
      <c r="G16" s="27">
        <f>IFERROR(INDEX(INDIRECT("'"&amp;F$1&amp;"'!$V$49:$V$76"),MATCH($A16,INDIRECT("'"&amp;F$1&amp;"'!$A$49:$A$76"),0)),0)</f>
        <v/>
      </c>
      <c r="H16" s="27">
        <f>IFERROR(INDEX(INDIRECT("'"&amp;H$1&amp;"'!$V$18:$V$45"),MATCH($A16,INDIRECT("'"&amp;H$1&amp;"'!$A$18:$A$45"),0)),0)</f>
        <v/>
      </c>
      <c r="I16" s="27">
        <f>IFERROR(INDEX(INDIRECT("'"&amp;H$1&amp;"'!$V$49:$V$76"),MATCH($A16,INDIRECT("'"&amp;H$1&amp;"'!$A$49:$A$76"),0)),0)</f>
        <v/>
      </c>
      <c r="J16" s="27">
        <f>IFERROR(INDEX(INDIRECT("'"&amp;J$1&amp;"'!$V$18:$V$45"),MATCH($A16,INDIRECT("'"&amp;J$1&amp;"'!$A$18:$A$45"),0)),0)</f>
        <v/>
      </c>
      <c r="K16" s="27">
        <f>IFERROR(INDEX(INDIRECT("'"&amp;J$1&amp;"'!$V$49:$V$76"),MATCH($A16,INDIRECT("'"&amp;J$1&amp;"'!$A$49:$A$76"),0)),0)</f>
        <v/>
      </c>
      <c r="L16" s="27">
        <f>IFERROR(INDEX(INDIRECT("'"&amp;L$1&amp;"'!$V$18:$V$45"),MATCH($A16,INDIRECT("'"&amp;L$1&amp;"'!$A$18:$A$45"),0)),0)</f>
        <v/>
      </c>
      <c r="M16" s="27">
        <f>IFERROR(INDEX(INDIRECT("'"&amp;L$1&amp;"'!$V$49:$V$76"),MATCH($A16,INDIRECT("'"&amp;L$1&amp;"'!$A$49:$A$76"),0)),0)</f>
        <v/>
      </c>
      <c r="N16" s="27">
        <f>IFERROR(INDEX(INDIRECT("'"&amp;N$1&amp;"'!$V$18:$V$45"),MATCH($A16,INDIRECT("'"&amp;N$1&amp;"'!$A$18:$A$45"),0)),0)</f>
        <v/>
      </c>
      <c r="O16" s="27">
        <f>IFERROR(INDEX(INDIRECT("'"&amp;N$1&amp;"'!$V$49:$V$76"),MATCH($A16,INDIRECT("'"&amp;N$1&amp;"'!$A$49:$A$76"),0)),0)</f>
        <v/>
      </c>
      <c r="P16" s="27">
        <f>IFERROR(INDEX(INDIRECT("'"&amp;P$1&amp;"'!$V$18:$V$45"),MATCH($A16,INDIRECT("'"&amp;P$1&amp;"'!$A$18:$A$45"),0)),0)</f>
        <v/>
      </c>
      <c r="Q16" s="27">
        <f>IFERROR(INDEX(INDIRECT("'"&amp;P$1&amp;"'!$V$49:$V$76"),MATCH($A16,INDIRECT("'"&amp;P$1&amp;"'!$A$49:$A$76"),0)),0)</f>
        <v/>
      </c>
      <c r="R16" s="27">
        <f>IFERROR(INDEX(INDIRECT("'"&amp;R$1&amp;"'!$V$18:$V$45"),MATCH($A16,INDIRECT("'"&amp;R$1&amp;"'!$A$18:$A$45"),0)),0)</f>
        <v/>
      </c>
      <c r="S16" s="27">
        <f>IFERROR(INDEX(INDIRECT("'"&amp;R$1&amp;"'!$V$49:$V$76"),MATCH($A16,INDIRECT("'"&amp;R$1&amp;"'!$A$49:$A$76"),0)),0)</f>
        <v/>
      </c>
      <c r="T16" s="27">
        <f>IFERROR(INDEX(INDIRECT("'"&amp;T$1&amp;"'!$V$18:$V$45"),MATCH($A16,INDIRECT("'"&amp;T$1&amp;"'!$A$18:$A$45"),0)),0)</f>
        <v/>
      </c>
      <c r="U16" s="27">
        <f>IFERROR(INDEX(INDIRECT("'"&amp;T$1&amp;"'!$V$49:$V$76"),MATCH($A16,INDIRECT("'"&amp;T$1&amp;"'!$A$49:$A$76"),0)),0)</f>
        <v/>
      </c>
      <c r="V16" s="24">
        <f>B16+D16+F16+H16+J16+L16+N16+P16+R16+T16</f>
        <v/>
      </c>
      <c r="W16" s="24">
        <f>C16+E16+G16+I16+K16+M16+O16+Q16+S16+U16</f>
        <v/>
      </c>
      <c r="X16" s="14">
        <f>IF(V16=0,"—",ROUND(W16/V16,2))</f>
        <v/>
      </c>
      <c r="Y16" s="14">
        <f>IFERROR(INDEX(INDIRECT("'"&amp;B$1&amp;"'!$V$80:$V$107"),MATCH($A16,INDIRECT("'"&amp;B$1&amp;"'!$A$80:$A$107"),0)),0)+IFERROR(INDEX(INDIRECT("'"&amp;D$1&amp;"'!$V$80:$V$107"),MATCH($A16,INDIRECT("'"&amp;D$1&amp;"'!$A$80:$A$107"),0)),0)+IFERROR(INDEX(INDIRECT("'"&amp;F$1&amp;"'!$V$80:$V$107"),MATCH($A16,INDIRECT("'"&amp;F$1&amp;"'!$A$80:$A$107"),0)),0)+IFERROR(INDEX(INDIRECT("'"&amp;H$1&amp;"'!$V$80:$V$107"),MATCH($A16,INDIRECT("'"&amp;H$1&amp;"'!$A$80:$A$107"),0)),0)+IFERROR(INDEX(INDIRECT("'"&amp;J$1&amp;"'!$V$80:$V$107"),MATCH($A16,INDIRECT("'"&amp;J$1&amp;"'!$A$80:$A$107"),0)),0)+IFERROR(INDEX(INDIRECT("'"&amp;L$1&amp;"'!$V$80:$V$107"),MATCH($A16,INDIRECT("'"&amp;L$1&amp;"'!$A$80:$A$107"),0)),0)+IFERROR(INDEX(INDIRECT("'"&amp;N$1&amp;"'!$V$80:$V$107"),MATCH($A16,INDIRECT("'"&amp;N$1&amp;"'!$A$80:$A$107"),0)),0)+IFERROR(INDEX(INDIRECT("'"&amp;P$1&amp;"'!$V$80:$V$107"),MATCH($A16,INDIRECT("'"&amp;P$1&amp;"'!$A$80:$A$107"),0)),0)+IFERROR(INDEX(INDIRECT("'"&amp;R$1&amp;"'!$V$80:$V$107"),MATCH($A16,INDIRECT("'"&amp;R$1&amp;"'!$A$80:$A$107"),0)),0)+IFERROR(INDEX(INDIRECT("'"&amp;T$1&amp;"'!$V$80:$V$107"),MATCH($A16,INDIRECT("'"&amp;T$1&amp;"'!$A$80:$A$107"),0)),0)</f>
        <v/>
      </c>
    </row>
    <row r="17">
      <c r="A17" s="23" t="inlineStr">
        <is>
          <t>Keshav Singh</t>
        </is>
      </c>
      <c r="B17" s="27">
        <f>IFERROR(INDEX(INDIRECT("'"&amp;B$1&amp;"'!$V$18:$V$45"),MATCH($A17,INDIRECT("'"&amp;B$1&amp;"'!$A$18:$A$45"),0)),0)</f>
        <v/>
      </c>
      <c r="C17" s="27">
        <f>IFERROR(INDEX(INDIRECT("'"&amp;B$1&amp;"'!$V$49:$V$76"),MATCH($A17,INDIRECT("'"&amp;B$1&amp;"'!$A$49:$A$76"),0)),0)</f>
        <v/>
      </c>
      <c r="D17" s="27">
        <f>IFERROR(INDEX(INDIRECT("'"&amp;D$1&amp;"'!$V$18:$V$45"),MATCH($A17,INDIRECT("'"&amp;D$1&amp;"'!$A$18:$A$45"),0)),0)</f>
        <v/>
      </c>
      <c r="E17" s="27">
        <f>IFERROR(INDEX(INDIRECT("'"&amp;D$1&amp;"'!$V$49:$V$76"),MATCH($A17,INDIRECT("'"&amp;D$1&amp;"'!$A$49:$A$76"),0)),0)</f>
        <v/>
      </c>
      <c r="F17" s="27">
        <f>IFERROR(INDEX(INDIRECT("'"&amp;F$1&amp;"'!$V$18:$V$45"),MATCH($A17,INDIRECT("'"&amp;F$1&amp;"'!$A$18:$A$45"),0)),0)</f>
        <v/>
      </c>
      <c r="G17" s="27">
        <f>IFERROR(INDEX(INDIRECT("'"&amp;F$1&amp;"'!$V$49:$V$76"),MATCH($A17,INDIRECT("'"&amp;F$1&amp;"'!$A$49:$A$76"),0)),0)</f>
        <v/>
      </c>
      <c r="H17" s="27">
        <f>IFERROR(INDEX(INDIRECT("'"&amp;H$1&amp;"'!$V$18:$V$45"),MATCH($A17,INDIRECT("'"&amp;H$1&amp;"'!$A$18:$A$45"),0)),0)</f>
        <v/>
      </c>
      <c r="I17" s="27">
        <f>IFERROR(INDEX(INDIRECT("'"&amp;H$1&amp;"'!$V$49:$V$76"),MATCH($A17,INDIRECT("'"&amp;H$1&amp;"'!$A$49:$A$76"),0)),0)</f>
        <v/>
      </c>
      <c r="J17" s="27">
        <f>IFERROR(INDEX(INDIRECT("'"&amp;J$1&amp;"'!$V$18:$V$45"),MATCH($A17,INDIRECT("'"&amp;J$1&amp;"'!$A$18:$A$45"),0)),0)</f>
        <v/>
      </c>
      <c r="K17" s="27">
        <f>IFERROR(INDEX(INDIRECT("'"&amp;J$1&amp;"'!$V$49:$V$76"),MATCH($A17,INDIRECT("'"&amp;J$1&amp;"'!$A$49:$A$76"),0)),0)</f>
        <v/>
      </c>
      <c r="L17" s="27">
        <f>IFERROR(INDEX(INDIRECT("'"&amp;L$1&amp;"'!$V$18:$V$45"),MATCH($A17,INDIRECT("'"&amp;L$1&amp;"'!$A$18:$A$45"),0)),0)</f>
        <v/>
      </c>
      <c r="M17" s="27">
        <f>IFERROR(INDEX(INDIRECT("'"&amp;L$1&amp;"'!$V$49:$V$76"),MATCH($A17,INDIRECT("'"&amp;L$1&amp;"'!$A$49:$A$76"),0)),0)</f>
        <v/>
      </c>
      <c r="N17" s="27">
        <f>IFERROR(INDEX(INDIRECT("'"&amp;N$1&amp;"'!$V$18:$V$45"),MATCH($A17,INDIRECT("'"&amp;N$1&amp;"'!$A$18:$A$45"),0)),0)</f>
        <v/>
      </c>
      <c r="O17" s="27">
        <f>IFERROR(INDEX(INDIRECT("'"&amp;N$1&amp;"'!$V$49:$V$76"),MATCH($A17,INDIRECT("'"&amp;N$1&amp;"'!$A$49:$A$76"),0)),0)</f>
        <v/>
      </c>
      <c r="P17" s="27">
        <f>IFERROR(INDEX(INDIRECT("'"&amp;P$1&amp;"'!$V$18:$V$45"),MATCH($A17,INDIRECT("'"&amp;P$1&amp;"'!$A$18:$A$45"),0)),0)</f>
        <v/>
      </c>
      <c r="Q17" s="27">
        <f>IFERROR(INDEX(INDIRECT("'"&amp;P$1&amp;"'!$V$49:$V$76"),MATCH($A17,INDIRECT("'"&amp;P$1&amp;"'!$A$49:$A$76"),0)),0)</f>
        <v/>
      </c>
      <c r="R17" s="27">
        <f>IFERROR(INDEX(INDIRECT("'"&amp;R$1&amp;"'!$V$18:$V$45"),MATCH($A17,INDIRECT("'"&amp;R$1&amp;"'!$A$18:$A$45"),0)),0)</f>
        <v/>
      </c>
      <c r="S17" s="27">
        <f>IFERROR(INDEX(INDIRECT("'"&amp;R$1&amp;"'!$V$49:$V$76"),MATCH($A17,INDIRECT("'"&amp;R$1&amp;"'!$A$49:$A$76"),0)),0)</f>
        <v/>
      </c>
      <c r="T17" s="27">
        <f>IFERROR(INDEX(INDIRECT("'"&amp;T$1&amp;"'!$V$18:$V$45"),MATCH($A17,INDIRECT("'"&amp;T$1&amp;"'!$A$18:$A$45"),0)),0)</f>
        <v/>
      </c>
      <c r="U17" s="27">
        <f>IFERROR(INDEX(INDIRECT("'"&amp;T$1&amp;"'!$V$49:$V$76"),MATCH($A17,INDIRECT("'"&amp;T$1&amp;"'!$A$49:$A$76"),0)),0)</f>
        <v/>
      </c>
      <c r="V17" s="24">
        <f>B17+D17+F17+H17+J17+L17+N17+P17+R17+T17</f>
        <v/>
      </c>
      <c r="W17" s="24">
        <f>C17+E17+G17+I17+K17+M17+O17+Q17+S17+U17</f>
        <v/>
      </c>
      <c r="X17" s="14">
        <f>IF(V17=0,"—",ROUND(W17/V17,2))</f>
        <v/>
      </c>
      <c r="Y17" s="14">
        <f>IFERROR(INDEX(INDIRECT("'"&amp;B$1&amp;"'!$V$80:$V$107"),MATCH($A17,INDIRECT("'"&amp;B$1&amp;"'!$A$80:$A$107"),0)),0)+IFERROR(INDEX(INDIRECT("'"&amp;D$1&amp;"'!$V$80:$V$107"),MATCH($A17,INDIRECT("'"&amp;D$1&amp;"'!$A$80:$A$107"),0)),0)+IFERROR(INDEX(INDIRECT("'"&amp;F$1&amp;"'!$V$80:$V$107"),MATCH($A17,INDIRECT("'"&amp;F$1&amp;"'!$A$80:$A$107"),0)),0)+IFERROR(INDEX(INDIRECT("'"&amp;H$1&amp;"'!$V$80:$V$107"),MATCH($A17,INDIRECT("'"&amp;H$1&amp;"'!$A$80:$A$107"),0)),0)+IFERROR(INDEX(INDIRECT("'"&amp;J$1&amp;"'!$V$80:$V$107"),MATCH($A17,INDIRECT("'"&amp;J$1&amp;"'!$A$80:$A$107"),0)),0)+IFERROR(INDEX(INDIRECT("'"&amp;L$1&amp;"'!$V$80:$V$107"),MATCH($A17,INDIRECT("'"&amp;L$1&amp;"'!$A$80:$A$107"),0)),0)+IFERROR(INDEX(INDIRECT("'"&amp;N$1&amp;"'!$V$80:$V$107"),MATCH($A17,INDIRECT("'"&amp;N$1&amp;"'!$A$80:$A$107"),0)),0)+IFERROR(INDEX(INDIRECT("'"&amp;P$1&amp;"'!$V$80:$V$107"),MATCH($A17,INDIRECT("'"&amp;P$1&amp;"'!$A$80:$A$107"),0)),0)+IFERROR(INDEX(INDIRECT("'"&amp;R$1&amp;"'!$V$80:$V$107"),MATCH($A17,INDIRECT("'"&amp;R$1&amp;"'!$A$80:$A$107"),0)),0)+IFERROR(INDEX(INDIRECT("'"&amp;T$1&amp;"'!$V$80:$V$107"),MATCH($A17,INDIRECT("'"&amp;T$1&amp;"'!$A$80:$A$107"),0)),0)</f>
        <v/>
      </c>
    </row>
    <row r="18">
      <c r="A18" s="23" t="inlineStr">
        <is>
          <t>Mark Pellowe</t>
        </is>
      </c>
      <c r="B18" s="27">
        <f>IFERROR(INDEX(INDIRECT("'"&amp;B$1&amp;"'!$V$18:$V$45"),MATCH($A18,INDIRECT("'"&amp;B$1&amp;"'!$A$18:$A$45"),0)),0)</f>
        <v/>
      </c>
      <c r="C18" s="27">
        <f>IFERROR(INDEX(INDIRECT("'"&amp;B$1&amp;"'!$V$49:$V$76"),MATCH($A18,INDIRECT("'"&amp;B$1&amp;"'!$A$49:$A$76"),0)),0)</f>
        <v/>
      </c>
      <c r="D18" s="27">
        <f>IFERROR(INDEX(INDIRECT("'"&amp;D$1&amp;"'!$V$18:$V$45"),MATCH($A18,INDIRECT("'"&amp;D$1&amp;"'!$A$18:$A$45"),0)),0)</f>
        <v/>
      </c>
      <c r="E18" s="27">
        <f>IFERROR(INDEX(INDIRECT("'"&amp;D$1&amp;"'!$V$49:$V$76"),MATCH($A18,INDIRECT("'"&amp;D$1&amp;"'!$A$49:$A$76"),0)),0)</f>
        <v/>
      </c>
      <c r="F18" s="27">
        <f>IFERROR(INDEX(INDIRECT("'"&amp;F$1&amp;"'!$V$18:$V$45"),MATCH($A18,INDIRECT("'"&amp;F$1&amp;"'!$A$18:$A$45"),0)),0)</f>
        <v/>
      </c>
      <c r="G18" s="27">
        <f>IFERROR(INDEX(INDIRECT("'"&amp;F$1&amp;"'!$V$49:$V$76"),MATCH($A18,INDIRECT("'"&amp;F$1&amp;"'!$A$49:$A$76"),0)),0)</f>
        <v/>
      </c>
      <c r="H18" s="27">
        <f>IFERROR(INDEX(INDIRECT("'"&amp;H$1&amp;"'!$V$18:$V$45"),MATCH($A18,INDIRECT("'"&amp;H$1&amp;"'!$A$18:$A$45"),0)),0)</f>
        <v/>
      </c>
      <c r="I18" s="27">
        <f>IFERROR(INDEX(INDIRECT("'"&amp;H$1&amp;"'!$V$49:$V$76"),MATCH($A18,INDIRECT("'"&amp;H$1&amp;"'!$A$49:$A$76"),0)),0)</f>
        <v/>
      </c>
      <c r="J18" s="27">
        <f>IFERROR(INDEX(INDIRECT("'"&amp;J$1&amp;"'!$V$18:$V$45"),MATCH($A18,INDIRECT("'"&amp;J$1&amp;"'!$A$18:$A$45"),0)),0)</f>
        <v/>
      </c>
      <c r="K18" s="27">
        <f>IFERROR(INDEX(INDIRECT("'"&amp;J$1&amp;"'!$V$49:$V$76"),MATCH($A18,INDIRECT("'"&amp;J$1&amp;"'!$A$49:$A$76"),0)),0)</f>
        <v/>
      </c>
      <c r="L18" s="27">
        <f>IFERROR(INDEX(INDIRECT("'"&amp;L$1&amp;"'!$V$18:$V$45"),MATCH($A18,INDIRECT("'"&amp;L$1&amp;"'!$A$18:$A$45"),0)),0)</f>
        <v/>
      </c>
      <c r="M18" s="27">
        <f>IFERROR(INDEX(INDIRECT("'"&amp;L$1&amp;"'!$V$49:$V$76"),MATCH($A18,INDIRECT("'"&amp;L$1&amp;"'!$A$49:$A$76"),0)),0)</f>
        <v/>
      </c>
      <c r="N18" s="27">
        <f>IFERROR(INDEX(INDIRECT("'"&amp;N$1&amp;"'!$V$18:$V$45"),MATCH($A18,INDIRECT("'"&amp;N$1&amp;"'!$A$18:$A$45"),0)),0)</f>
        <v/>
      </c>
      <c r="O18" s="27">
        <f>IFERROR(INDEX(INDIRECT("'"&amp;N$1&amp;"'!$V$49:$V$76"),MATCH($A18,INDIRECT("'"&amp;N$1&amp;"'!$A$49:$A$76"),0)),0)</f>
        <v/>
      </c>
      <c r="P18" s="27">
        <f>IFERROR(INDEX(INDIRECT("'"&amp;P$1&amp;"'!$V$18:$V$45"),MATCH($A18,INDIRECT("'"&amp;P$1&amp;"'!$A$18:$A$45"),0)),0)</f>
        <v/>
      </c>
      <c r="Q18" s="27">
        <f>IFERROR(INDEX(INDIRECT("'"&amp;P$1&amp;"'!$V$49:$V$76"),MATCH($A18,INDIRECT("'"&amp;P$1&amp;"'!$A$49:$A$76"),0)),0)</f>
        <v/>
      </c>
      <c r="R18" s="27">
        <f>IFERROR(INDEX(INDIRECT("'"&amp;R$1&amp;"'!$V$18:$V$45"),MATCH($A18,INDIRECT("'"&amp;R$1&amp;"'!$A$18:$A$45"),0)),0)</f>
        <v/>
      </c>
      <c r="S18" s="27">
        <f>IFERROR(INDEX(INDIRECT("'"&amp;R$1&amp;"'!$V$49:$V$76"),MATCH($A18,INDIRECT("'"&amp;R$1&amp;"'!$A$49:$A$76"),0)),0)</f>
        <v/>
      </c>
      <c r="T18" s="27">
        <f>IFERROR(INDEX(INDIRECT("'"&amp;T$1&amp;"'!$V$18:$V$45"),MATCH($A18,INDIRECT("'"&amp;T$1&amp;"'!$A$18:$A$45"),0)),0)</f>
        <v/>
      </c>
      <c r="U18" s="27">
        <f>IFERROR(INDEX(INDIRECT("'"&amp;T$1&amp;"'!$V$49:$V$76"),MATCH($A18,INDIRECT("'"&amp;T$1&amp;"'!$A$49:$A$76"),0)),0)</f>
        <v/>
      </c>
      <c r="V18" s="24">
        <f>B18+D18+F18+H18+J18+L18+N18+P18+R18+T18</f>
        <v/>
      </c>
      <c r="W18" s="24">
        <f>C18+E18+G18+I18+K18+M18+O18+Q18+S18+U18</f>
        <v/>
      </c>
      <c r="X18" s="14">
        <f>IF(V18=0,"—",ROUND(W18/V18,2))</f>
        <v/>
      </c>
      <c r="Y18" s="14">
        <f>IFERROR(INDEX(INDIRECT("'"&amp;B$1&amp;"'!$V$80:$V$107"),MATCH($A18,INDIRECT("'"&amp;B$1&amp;"'!$A$80:$A$107"),0)),0)+IFERROR(INDEX(INDIRECT("'"&amp;D$1&amp;"'!$V$80:$V$107"),MATCH($A18,INDIRECT("'"&amp;D$1&amp;"'!$A$80:$A$107"),0)),0)+IFERROR(INDEX(INDIRECT("'"&amp;F$1&amp;"'!$V$80:$V$107"),MATCH($A18,INDIRECT("'"&amp;F$1&amp;"'!$A$80:$A$107"),0)),0)+IFERROR(INDEX(INDIRECT("'"&amp;H$1&amp;"'!$V$80:$V$107"),MATCH($A18,INDIRECT("'"&amp;H$1&amp;"'!$A$80:$A$107"),0)),0)+IFERROR(INDEX(INDIRECT("'"&amp;J$1&amp;"'!$V$80:$V$107"),MATCH($A18,INDIRECT("'"&amp;J$1&amp;"'!$A$80:$A$107"),0)),0)+IFERROR(INDEX(INDIRECT("'"&amp;L$1&amp;"'!$V$80:$V$107"),MATCH($A18,INDIRECT("'"&amp;L$1&amp;"'!$A$80:$A$107"),0)),0)+IFERROR(INDEX(INDIRECT("'"&amp;N$1&amp;"'!$V$80:$V$107"),MATCH($A18,INDIRECT("'"&amp;N$1&amp;"'!$A$80:$A$107"),0)),0)+IFERROR(INDEX(INDIRECT("'"&amp;P$1&amp;"'!$V$80:$V$107"),MATCH($A18,INDIRECT("'"&amp;P$1&amp;"'!$A$80:$A$107"),0)),0)+IFERROR(INDEX(INDIRECT("'"&amp;R$1&amp;"'!$V$80:$V$107"),MATCH($A18,INDIRECT("'"&amp;R$1&amp;"'!$A$80:$A$107"),0)),0)+IFERROR(INDEX(INDIRECT("'"&amp;T$1&amp;"'!$V$80:$V$107"),MATCH($A18,INDIRECT("'"&amp;T$1&amp;"'!$A$80:$A$107"),0)),0)</f>
        <v/>
      </c>
    </row>
    <row r="19">
      <c r="A19" s="23" t="inlineStr">
        <is>
          <t>Max Cobain</t>
        </is>
      </c>
      <c r="B19" s="27">
        <f>IFERROR(INDEX(INDIRECT("'"&amp;B$1&amp;"'!$V$18:$V$45"),MATCH($A19,INDIRECT("'"&amp;B$1&amp;"'!$A$18:$A$45"),0)),0)</f>
        <v/>
      </c>
      <c r="C19" s="27">
        <f>IFERROR(INDEX(INDIRECT("'"&amp;B$1&amp;"'!$V$49:$V$76"),MATCH($A19,INDIRECT("'"&amp;B$1&amp;"'!$A$49:$A$76"),0)),0)</f>
        <v/>
      </c>
      <c r="D19" s="27">
        <f>IFERROR(INDEX(INDIRECT("'"&amp;D$1&amp;"'!$V$18:$V$45"),MATCH($A19,INDIRECT("'"&amp;D$1&amp;"'!$A$18:$A$45"),0)),0)</f>
        <v/>
      </c>
      <c r="E19" s="27">
        <f>IFERROR(INDEX(INDIRECT("'"&amp;D$1&amp;"'!$V$49:$V$76"),MATCH($A19,INDIRECT("'"&amp;D$1&amp;"'!$A$49:$A$76"),0)),0)</f>
        <v/>
      </c>
      <c r="F19" s="27">
        <f>IFERROR(INDEX(INDIRECT("'"&amp;F$1&amp;"'!$V$18:$V$45"),MATCH($A19,INDIRECT("'"&amp;F$1&amp;"'!$A$18:$A$45"),0)),0)</f>
        <v/>
      </c>
      <c r="G19" s="27">
        <f>IFERROR(INDEX(INDIRECT("'"&amp;F$1&amp;"'!$V$49:$V$76"),MATCH($A19,INDIRECT("'"&amp;F$1&amp;"'!$A$49:$A$76"),0)),0)</f>
        <v/>
      </c>
      <c r="H19" s="27">
        <f>IFERROR(INDEX(INDIRECT("'"&amp;H$1&amp;"'!$V$18:$V$45"),MATCH($A19,INDIRECT("'"&amp;H$1&amp;"'!$A$18:$A$45"),0)),0)</f>
        <v/>
      </c>
      <c r="I19" s="27">
        <f>IFERROR(INDEX(INDIRECT("'"&amp;H$1&amp;"'!$V$49:$V$76"),MATCH($A19,INDIRECT("'"&amp;H$1&amp;"'!$A$49:$A$76"),0)),0)</f>
        <v/>
      </c>
      <c r="J19" s="27">
        <f>IFERROR(INDEX(INDIRECT("'"&amp;J$1&amp;"'!$V$18:$V$45"),MATCH($A19,INDIRECT("'"&amp;J$1&amp;"'!$A$18:$A$45"),0)),0)</f>
        <v/>
      </c>
      <c r="K19" s="27">
        <f>IFERROR(INDEX(INDIRECT("'"&amp;J$1&amp;"'!$V$49:$V$76"),MATCH($A19,INDIRECT("'"&amp;J$1&amp;"'!$A$49:$A$76"),0)),0)</f>
        <v/>
      </c>
      <c r="L19" s="27">
        <f>IFERROR(INDEX(INDIRECT("'"&amp;L$1&amp;"'!$V$18:$V$45"),MATCH($A19,INDIRECT("'"&amp;L$1&amp;"'!$A$18:$A$45"),0)),0)</f>
        <v/>
      </c>
      <c r="M19" s="27">
        <f>IFERROR(INDEX(INDIRECT("'"&amp;L$1&amp;"'!$V$49:$V$76"),MATCH($A19,INDIRECT("'"&amp;L$1&amp;"'!$A$49:$A$76"),0)),0)</f>
        <v/>
      </c>
      <c r="N19" s="27">
        <f>IFERROR(INDEX(INDIRECT("'"&amp;N$1&amp;"'!$V$18:$V$45"),MATCH($A19,INDIRECT("'"&amp;N$1&amp;"'!$A$18:$A$45"),0)),0)</f>
        <v/>
      </c>
      <c r="O19" s="27">
        <f>IFERROR(INDEX(INDIRECT("'"&amp;N$1&amp;"'!$V$49:$V$76"),MATCH($A19,INDIRECT("'"&amp;N$1&amp;"'!$A$49:$A$76"),0)),0)</f>
        <v/>
      </c>
      <c r="P19" s="27">
        <f>IFERROR(INDEX(INDIRECT("'"&amp;P$1&amp;"'!$V$18:$V$45"),MATCH($A19,INDIRECT("'"&amp;P$1&amp;"'!$A$18:$A$45"),0)),0)</f>
        <v/>
      </c>
      <c r="Q19" s="27">
        <f>IFERROR(INDEX(INDIRECT("'"&amp;P$1&amp;"'!$V$49:$V$76"),MATCH($A19,INDIRECT("'"&amp;P$1&amp;"'!$A$49:$A$76"),0)),0)</f>
        <v/>
      </c>
      <c r="R19" s="27">
        <f>IFERROR(INDEX(INDIRECT("'"&amp;R$1&amp;"'!$V$18:$V$45"),MATCH($A19,INDIRECT("'"&amp;R$1&amp;"'!$A$18:$A$45"),0)),0)</f>
        <v/>
      </c>
      <c r="S19" s="27">
        <f>IFERROR(INDEX(INDIRECT("'"&amp;R$1&amp;"'!$V$49:$V$76"),MATCH($A19,INDIRECT("'"&amp;R$1&amp;"'!$A$49:$A$76"),0)),0)</f>
        <v/>
      </c>
      <c r="T19" s="27">
        <f>IFERROR(INDEX(INDIRECT("'"&amp;T$1&amp;"'!$V$18:$V$45"),MATCH($A19,INDIRECT("'"&amp;T$1&amp;"'!$A$18:$A$45"),0)),0)</f>
        <v/>
      </c>
      <c r="U19" s="27">
        <f>IFERROR(INDEX(INDIRECT("'"&amp;T$1&amp;"'!$V$49:$V$76"),MATCH($A19,INDIRECT("'"&amp;T$1&amp;"'!$A$49:$A$76"),0)),0)</f>
        <v/>
      </c>
      <c r="V19" s="24">
        <f>B19+D19+F19+H19+J19+L19+N19+P19+R19+T19</f>
        <v/>
      </c>
      <c r="W19" s="24">
        <f>C19+E19+G19+I19+K19+M19+O19+Q19+S19+U19</f>
        <v/>
      </c>
      <c r="X19" s="14">
        <f>IF(V19=0,"—",ROUND(W19/V19,2))</f>
        <v/>
      </c>
      <c r="Y19" s="14">
        <f>IFERROR(INDEX(INDIRECT("'"&amp;B$1&amp;"'!$V$80:$V$107"),MATCH($A19,INDIRECT("'"&amp;B$1&amp;"'!$A$80:$A$107"),0)),0)+IFERROR(INDEX(INDIRECT("'"&amp;D$1&amp;"'!$V$80:$V$107"),MATCH($A19,INDIRECT("'"&amp;D$1&amp;"'!$A$80:$A$107"),0)),0)+IFERROR(INDEX(INDIRECT("'"&amp;F$1&amp;"'!$V$80:$V$107"),MATCH($A19,INDIRECT("'"&amp;F$1&amp;"'!$A$80:$A$107"),0)),0)+IFERROR(INDEX(INDIRECT("'"&amp;H$1&amp;"'!$V$80:$V$107"),MATCH($A19,INDIRECT("'"&amp;H$1&amp;"'!$A$80:$A$107"),0)),0)+IFERROR(INDEX(INDIRECT("'"&amp;J$1&amp;"'!$V$80:$V$107"),MATCH($A19,INDIRECT("'"&amp;J$1&amp;"'!$A$80:$A$107"),0)),0)+IFERROR(INDEX(INDIRECT("'"&amp;L$1&amp;"'!$V$80:$V$107"),MATCH($A19,INDIRECT("'"&amp;L$1&amp;"'!$A$80:$A$107"),0)),0)+IFERROR(INDEX(INDIRECT("'"&amp;N$1&amp;"'!$V$80:$V$107"),MATCH($A19,INDIRECT("'"&amp;N$1&amp;"'!$A$80:$A$107"),0)),0)+IFERROR(INDEX(INDIRECT("'"&amp;P$1&amp;"'!$V$80:$V$107"),MATCH($A19,INDIRECT("'"&amp;P$1&amp;"'!$A$80:$A$107"),0)),0)+IFERROR(INDEX(INDIRECT("'"&amp;R$1&amp;"'!$V$80:$V$107"),MATCH($A19,INDIRECT("'"&amp;R$1&amp;"'!$A$80:$A$107"),0)),0)+IFERROR(INDEX(INDIRECT("'"&amp;T$1&amp;"'!$V$80:$V$107"),MATCH($A19,INDIRECT("'"&amp;T$1&amp;"'!$A$80:$A$107"),0)),0)</f>
        <v/>
      </c>
    </row>
    <row r="20">
      <c r="A20" s="23" t="inlineStr">
        <is>
          <t>Neeraj Radia</t>
        </is>
      </c>
      <c r="B20" s="27">
        <f>IFERROR(INDEX(INDIRECT("'"&amp;B$1&amp;"'!$V$18:$V$45"),MATCH($A20,INDIRECT("'"&amp;B$1&amp;"'!$A$18:$A$45"),0)),0)</f>
        <v/>
      </c>
      <c r="C20" s="27">
        <f>IFERROR(INDEX(INDIRECT("'"&amp;B$1&amp;"'!$V$49:$V$76"),MATCH($A20,INDIRECT("'"&amp;B$1&amp;"'!$A$49:$A$76"),0)),0)</f>
        <v/>
      </c>
      <c r="D20" s="27">
        <f>IFERROR(INDEX(INDIRECT("'"&amp;D$1&amp;"'!$V$18:$V$45"),MATCH($A20,INDIRECT("'"&amp;D$1&amp;"'!$A$18:$A$45"),0)),0)</f>
        <v/>
      </c>
      <c r="E20" s="27">
        <f>IFERROR(INDEX(INDIRECT("'"&amp;D$1&amp;"'!$V$49:$V$76"),MATCH($A20,INDIRECT("'"&amp;D$1&amp;"'!$A$49:$A$76"),0)),0)</f>
        <v/>
      </c>
      <c r="F20" s="27">
        <f>IFERROR(INDEX(INDIRECT("'"&amp;F$1&amp;"'!$V$18:$V$45"),MATCH($A20,INDIRECT("'"&amp;F$1&amp;"'!$A$18:$A$45"),0)),0)</f>
        <v/>
      </c>
      <c r="G20" s="27">
        <f>IFERROR(INDEX(INDIRECT("'"&amp;F$1&amp;"'!$V$49:$V$76"),MATCH($A20,INDIRECT("'"&amp;F$1&amp;"'!$A$49:$A$76"),0)),0)</f>
        <v/>
      </c>
      <c r="H20" s="27">
        <f>IFERROR(INDEX(INDIRECT("'"&amp;H$1&amp;"'!$V$18:$V$45"),MATCH($A20,INDIRECT("'"&amp;H$1&amp;"'!$A$18:$A$45"),0)),0)</f>
        <v/>
      </c>
      <c r="I20" s="27">
        <f>IFERROR(INDEX(INDIRECT("'"&amp;H$1&amp;"'!$V$49:$V$76"),MATCH($A20,INDIRECT("'"&amp;H$1&amp;"'!$A$49:$A$76"),0)),0)</f>
        <v/>
      </c>
      <c r="J20" s="27">
        <f>IFERROR(INDEX(INDIRECT("'"&amp;J$1&amp;"'!$V$18:$V$45"),MATCH($A20,INDIRECT("'"&amp;J$1&amp;"'!$A$18:$A$45"),0)),0)</f>
        <v/>
      </c>
      <c r="K20" s="27">
        <f>IFERROR(INDEX(INDIRECT("'"&amp;J$1&amp;"'!$V$49:$V$76"),MATCH($A20,INDIRECT("'"&amp;J$1&amp;"'!$A$49:$A$76"),0)),0)</f>
        <v/>
      </c>
      <c r="L20" s="27">
        <f>IFERROR(INDEX(INDIRECT("'"&amp;L$1&amp;"'!$V$18:$V$45"),MATCH($A20,INDIRECT("'"&amp;L$1&amp;"'!$A$18:$A$45"),0)),0)</f>
        <v/>
      </c>
      <c r="M20" s="27">
        <f>IFERROR(INDEX(INDIRECT("'"&amp;L$1&amp;"'!$V$49:$V$76"),MATCH($A20,INDIRECT("'"&amp;L$1&amp;"'!$A$49:$A$76"),0)),0)</f>
        <v/>
      </c>
      <c r="N20" s="27">
        <f>IFERROR(INDEX(INDIRECT("'"&amp;N$1&amp;"'!$V$18:$V$45"),MATCH($A20,INDIRECT("'"&amp;N$1&amp;"'!$A$18:$A$45"),0)),0)</f>
        <v/>
      </c>
      <c r="O20" s="27">
        <f>IFERROR(INDEX(INDIRECT("'"&amp;N$1&amp;"'!$V$49:$V$76"),MATCH($A20,INDIRECT("'"&amp;N$1&amp;"'!$A$49:$A$76"),0)),0)</f>
        <v/>
      </c>
      <c r="P20" s="27">
        <f>IFERROR(INDEX(INDIRECT("'"&amp;P$1&amp;"'!$V$18:$V$45"),MATCH($A20,INDIRECT("'"&amp;P$1&amp;"'!$A$18:$A$45"),0)),0)</f>
        <v/>
      </c>
      <c r="Q20" s="27">
        <f>IFERROR(INDEX(INDIRECT("'"&amp;P$1&amp;"'!$V$49:$V$76"),MATCH($A20,INDIRECT("'"&amp;P$1&amp;"'!$A$49:$A$76"),0)),0)</f>
        <v/>
      </c>
      <c r="R20" s="27">
        <f>IFERROR(INDEX(INDIRECT("'"&amp;R$1&amp;"'!$V$18:$V$45"),MATCH($A20,INDIRECT("'"&amp;R$1&amp;"'!$A$18:$A$45"),0)),0)</f>
        <v/>
      </c>
      <c r="S20" s="27">
        <f>IFERROR(INDEX(INDIRECT("'"&amp;R$1&amp;"'!$V$49:$V$76"),MATCH($A20,INDIRECT("'"&amp;R$1&amp;"'!$A$49:$A$76"),0)),0)</f>
        <v/>
      </c>
      <c r="T20" s="27">
        <f>IFERROR(INDEX(INDIRECT("'"&amp;T$1&amp;"'!$V$18:$V$45"),MATCH($A20,INDIRECT("'"&amp;T$1&amp;"'!$A$18:$A$45"),0)),0)</f>
        <v/>
      </c>
      <c r="U20" s="27">
        <f>IFERROR(INDEX(INDIRECT("'"&amp;T$1&amp;"'!$V$49:$V$76"),MATCH($A20,INDIRECT("'"&amp;T$1&amp;"'!$A$49:$A$76"),0)),0)</f>
        <v/>
      </c>
      <c r="V20" s="24">
        <f>B20+D20+F20+H20+J20+L20+N20+P20+R20+T20</f>
        <v/>
      </c>
      <c r="W20" s="24">
        <f>C20+E20+G20+I20+K20+M20+O20+Q20+S20+U20</f>
        <v/>
      </c>
      <c r="X20" s="14">
        <f>IF(V20=0,"—",ROUND(W20/V20,2))</f>
        <v/>
      </c>
      <c r="Y20" s="14">
        <f>IFERROR(INDEX(INDIRECT("'"&amp;B$1&amp;"'!$V$80:$V$107"),MATCH($A20,INDIRECT("'"&amp;B$1&amp;"'!$A$80:$A$107"),0)),0)+IFERROR(INDEX(INDIRECT("'"&amp;D$1&amp;"'!$V$80:$V$107"),MATCH($A20,INDIRECT("'"&amp;D$1&amp;"'!$A$80:$A$107"),0)),0)+IFERROR(INDEX(INDIRECT("'"&amp;F$1&amp;"'!$V$80:$V$107"),MATCH($A20,INDIRECT("'"&amp;F$1&amp;"'!$A$80:$A$107"),0)),0)+IFERROR(INDEX(INDIRECT("'"&amp;H$1&amp;"'!$V$80:$V$107"),MATCH($A20,INDIRECT("'"&amp;H$1&amp;"'!$A$80:$A$107"),0)),0)+IFERROR(INDEX(INDIRECT("'"&amp;J$1&amp;"'!$V$80:$V$107"),MATCH($A20,INDIRECT("'"&amp;J$1&amp;"'!$A$80:$A$107"),0)),0)+IFERROR(INDEX(INDIRECT("'"&amp;L$1&amp;"'!$V$80:$V$107"),MATCH($A20,INDIRECT("'"&amp;L$1&amp;"'!$A$80:$A$107"),0)),0)+IFERROR(INDEX(INDIRECT("'"&amp;N$1&amp;"'!$V$80:$V$107"),MATCH($A20,INDIRECT("'"&amp;N$1&amp;"'!$A$80:$A$107"),0)),0)+IFERROR(INDEX(INDIRECT("'"&amp;P$1&amp;"'!$V$80:$V$107"),MATCH($A20,INDIRECT("'"&amp;P$1&amp;"'!$A$80:$A$107"),0)),0)+IFERROR(INDEX(INDIRECT("'"&amp;R$1&amp;"'!$V$80:$V$107"),MATCH($A20,INDIRECT("'"&amp;R$1&amp;"'!$A$80:$A$107"),0)),0)+IFERROR(INDEX(INDIRECT("'"&amp;T$1&amp;"'!$V$80:$V$107"),MATCH($A20,INDIRECT("'"&amp;T$1&amp;"'!$A$80:$A$107"),0)),0)</f>
        <v/>
      </c>
    </row>
    <row r="21" ht="15.75" customHeight="1" s="38">
      <c r="A21" s="23" t="inlineStr">
        <is>
          <t>Phil Knott</t>
        </is>
      </c>
      <c r="B21" s="27">
        <f>IFERROR(INDEX(INDIRECT("'"&amp;B$1&amp;"'!$V$18:$V$45"),MATCH($A21,INDIRECT("'"&amp;B$1&amp;"'!$A$18:$A$45"),0)),0)</f>
        <v/>
      </c>
      <c r="C21" s="27">
        <f>IFERROR(INDEX(INDIRECT("'"&amp;B$1&amp;"'!$V$49:$V$76"),MATCH($A21,INDIRECT("'"&amp;B$1&amp;"'!$A$49:$A$76"),0)),0)</f>
        <v/>
      </c>
      <c r="D21" s="27">
        <f>IFERROR(INDEX(INDIRECT("'"&amp;D$1&amp;"'!$V$18:$V$45"),MATCH($A21,INDIRECT("'"&amp;D$1&amp;"'!$A$18:$A$45"),0)),0)</f>
        <v/>
      </c>
      <c r="E21" s="27">
        <f>IFERROR(INDEX(INDIRECT("'"&amp;D$1&amp;"'!$V$49:$V$76"),MATCH($A21,INDIRECT("'"&amp;D$1&amp;"'!$A$49:$A$76"),0)),0)</f>
        <v/>
      </c>
      <c r="F21" s="27">
        <f>IFERROR(INDEX(INDIRECT("'"&amp;F$1&amp;"'!$V$18:$V$45"),MATCH($A21,INDIRECT("'"&amp;F$1&amp;"'!$A$18:$A$45"),0)),0)</f>
        <v/>
      </c>
      <c r="G21" s="27">
        <f>IFERROR(INDEX(INDIRECT("'"&amp;F$1&amp;"'!$V$49:$V$76"),MATCH($A21,INDIRECT("'"&amp;F$1&amp;"'!$A$49:$A$76"),0)),0)</f>
        <v/>
      </c>
      <c r="H21" s="27">
        <f>IFERROR(INDEX(INDIRECT("'"&amp;H$1&amp;"'!$V$18:$V$45"),MATCH($A21,INDIRECT("'"&amp;H$1&amp;"'!$A$18:$A$45"),0)),0)</f>
        <v/>
      </c>
      <c r="I21" s="27">
        <f>IFERROR(INDEX(INDIRECT("'"&amp;H$1&amp;"'!$V$49:$V$76"),MATCH($A21,INDIRECT("'"&amp;H$1&amp;"'!$A$49:$A$76"),0)),0)</f>
        <v/>
      </c>
      <c r="J21" s="27">
        <f>IFERROR(INDEX(INDIRECT("'"&amp;J$1&amp;"'!$V$18:$V$45"),MATCH($A21,INDIRECT("'"&amp;J$1&amp;"'!$A$18:$A$45"),0)),0)</f>
        <v/>
      </c>
      <c r="K21" s="27">
        <f>IFERROR(INDEX(INDIRECT("'"&amp;J$1&amp;"'!$V$49:$V$76"),MATCH($A21,INDIRECT("'"&amp;J$1&amp;"'!$A$49:$A$76"),0)),0)</f>
        <v/>
      </c>
      <c r="L21" s="27">
        <f>IFERROR(INDEX(INDIRECT("'"&amp;L$1&amp;"'!$V$18:$V$45"),MATCH($A21,INDIRECT("'"&amp;L$1&amp;"'!$A$18:$A$45"),0)),0)</f>
        <v/>
      </c>
      <c r="M21" s="27">
        <f>IFERROR(INDEX(INDIRECT("'"&amp;L$1&amp;"'!$V$49:$V$76"),MATCH($A21,INDIRECT("'"&amp;L$1&amp;"'!$A$49:$A$76"),0)),0)</f>
        <v/>
      </c>
      <c r="N21" s="27">
        <f>IFERROR(INDEX(INDIRECT("'"&amp;N$1&amp;"'!$V$18:$V$45"),MATCH($A21,INDIRECT("'"&amp;N$1&amp;"'!$A$18:$A$45"),0)),0)</f>
        <v/>
      </c>
      <c r="O21" s="27">
        <f>IFERROR(INDEX(INDIRECT("'"&amp;N$1&amp;"'!$V$49:$V$76"),MATCH($A21,INDIRECT("'"&amp;N$1&amp;"'!$A$49:$A$76"),0)),0)</f>
        <v/>
      </c>
      <c r="P21" s="27">
        <f>IFERROR(INDEX(INDIRECT("'"&amp;P$1&amp;"'!$V$18:$V$45"),MATCH($A21,INDIRECT("'"&amp;P$1&amp;"'!$A$18:$A$45"),0)),0)</f>
        <v/>
      </c>
      <c r="Q21" s="27">
        <f>IFERROR(INDEX(INDIRECT("'"&amp;P$1&amp;"'!$V$49:$V$76"),MATCH($A21,INDIRECT("'"&amp;P$1&amp;"'!$A$49:$A$76"),0)),0)</f>
        <v/>
      </c>
      <c r="R21" s="27">
        <f>IFERROR(INDEX(INDIRECT("'"&amp;R$1&amp;"'!$V$18:$V$45"),MATCH($A21,INDIRECT("'"&amp;R$1&amp;"'!$A$18:$A$45"),0)),0)</f>
        <v/>
      </c>
      <c r="S21" s="27">
        <f>IFERROR(INDEX(INDIRECT("'"&amp;R$1&amp;"'!$V$49:$V$76"),MATCH($A21,INDIRECT("'"&amp;R$1&amp;"'!$A$49:$A$76"),0)),0)</f>
        <v/>
      </c>
      <c r="T21" s="27">
        <f>IFERROR(INDEX(INDIRECT("'"&amp;T$1&amp;"'!$V$18:$V$45"),MATCH($A21,INDIRECT("'"&amp;T$1&amp;"'!$A$18:$A$45"),0)),0)</f>
        <v/>
      </c>
      <c r="U21" s="27">
        <f>IFERROR(INDEX(INDIRECT("'"&amp;T$1&amp;"'!$V$49:$V$76"),MATCH($A21,INDIRECT("'"&amp;T$1&amp;"'!$A$49:$A$76"),0)),0)</f>
        <v/>
      </c>
      <c r="V21" s="24">
        <f>B21+D21+F21+H21+J21+L21+N21+P21+R21+T21</f>
        <v/>
      </c>
      <c r="W21" s="24">
        <f>C21+E21+G21+I21+K21+M21+O21+Q21+S21+U21</f>
        <v/>
      </c>
      <c r="X21" s="14">
        <f>IF(V21=0,"—",ROUND(W21/V21,2))</f>
        <v/>
      </c>
      <c r="Y21" s="14">
        <f>IFERROR(INDEX(INDIRECT("'"&amp;B$1&amp;"'!$V$80:$V$107"),MATCH($A21,INDIRECT("'"&amp;B$1&amp;"'!$A$80:$A$107"),0)),0)+IFERROR(INDEX(INDIRECT("'"&amp;D$1&amp;"'!$V$80:$V$107"),MATCH($A21,INDIRECT("'"&amp;D$1&amp;"'!$A$80:$A$107"),0)),0)+IFERROR(INDEX(INDIRECT("'"&amp;F$1&amp;"'!$V$80:$V$107"),MATCH($A21,INDIRECT("'"&amp;F$1&amp;"'!$A$80:$A$107"),0)),0)+IFERROR(INDEX(INDIRECT("'"&amp;H$1&amp;"'!$V$80:$V$107"),MATCH($A21,INDIRECT("'"&amp;H$1&amp;"'!$A$80:$A$107"),0)),0)+IFERROR(INDEX(INDIRECT("'"&amp;J$1&amp;"'!$V$80:$V$107"),MATCH($A21,INDIRECT("'"&amp;J$1&amp;"'!$A$80:$A$107"),0)),0)+IFERROR(INDEX(INDIRECT("'"&amp;L$1&amp;"'!$V$80:$V$107"),MATCH($A21,INDIRECT("'"&amp;L$1&amp;"'!$A$80:$A$107"),0)),0)+IFERROR(INDEX(INDIRECT("'"&amp;N$1&amp;"'!$V$80:$V$107"),MATCH($A21,INDIRECT("'"&amp;N$1&amp;"'!$A$80:$A$107"),0)),0)+IFERROR(INDEX(INDIRECT("'"&amp;P$1&amp;"'!$V$80:$V$107"),MATCH($A21,INDIRECT("'"&amp;P$1&amp;"'!$A$80:$A$107"),0)),0)+IFERROR(INDEX(INDIRECT("'"&amp;R$1&amp;"'!$V$80:$V$107"),MATCH($A21,INDIRECT("'"&amp;R$1&amp;"'!$A$80:$A$107"),0)),0)+IFERROR(INDEX(INDIRECT("'"&amp;T$1&amp;"'!$V$80:$V$107"),MATCH($A21,INDIRECT("'"&amp;T$1&amp;"'!$A$80:$A$107"),0)),0)</f>
        <v/>
      </c>
    </row>
    <row r="22" ht="15.75" customHeight="1" s="38">
      <c r="A22" s="23" t="inlineStr">
        <is>
          <t>Robin Watson</t>
        </is>
      </c>
      <c r="B22" s="27">
        <f>IFERROR(INDEX(INDIRECT("'"&amp;B$1&amp;"'!$V$18:$V$45"),MATCH($A22,INDIRECT("'"&amp;B$1&amp;"'!$A$18:$A$45"),0)),0)</f>
        <v/>
      </c>
      <c r="C22" s="27">
        <f>IFERROR(INDEX(INDIRECT("'"&amp;B$1&amp;"'!$V$49:$V$76"),MATCH($A22,INDIRECT("'"&amp;B$1&amp;"'!$A$49:$A$76"),0)),0)</f>
        <v/>
      </c>
      <c r="D22" s="27">
        <f>IFERROR(INDEX(INDIRECT("'"&amp;D$1&amp;"'!$V$18:$V$45"),MATCH($A22,INDIRECT("'"&amp;D$1&amp;"'!$A$18:$A$45"),0)),0)</f>
        <v/>
      </c>
      <c r="E22" s="27">
        <f>IFERROR(INDEX(INDIRECT("'"&amp;D$1&amp;"'!$V$49:$V$76"),MATCH($A22,INDIRECT("'"&amp;D$1&amp;"'!$A$49:$A$76"),0)),0)</f>
        <v/>
      </c>
      <c r="F22" s="27">
        <f>IFERROR(INDEX(INDIRECT("'"&amp;F$1&amp;"'!$V$18:$V$45"),MATCH($A22,INDIRECT("'"&amp;F$1&amp;"'!$A$18:$A$45"),0)),0)</f>
        <v/>
      </c>
      <c r="G22" s="27">
        <f>IFERROR(INDEX(INDIRECT("'"&amp;F$1&amp;"'!$V$49:$V$76"),MATCH($A22,INDIRECT("'"&amp;F$1&amp;"'!$A$49:$A$76"),0)),0)</f>
        <v/>
      </c>
      <c r="H22" s="27">
        <f>IFERROR(INDEX(INDIRECT("'"&amp;H$1&amp;"'!$V$18:$V$45"),MATCH($A22,INDIRECT("'"&amp;H$1&amp;"'!$A$18:$A$45"),0)),0)</f>
        <v/>
      </c>
      <c r="I22" s="27">
        <f>IFERROR(INDEX(INDIRECT("'"&amp;H$1&amp;"'!$V$49:$V$76"),MATCH($A22,INDIRECT("'"&amp;H$1&amp;"'!$A$49:$A$76"),0)),0)</f>
        <v/>
      </c>
      <c r="J22" s="27">
        <f>IFERROR(INDEX(INDIRECT("'"&amp;J$1&amp;"'!$V$18:$V$45"),MATCH($A22,INDIRECT("'"&amp;J$1&amp;"'!$A$18:$A$45"),0)),0)</f>
        <v/>
      </c>
      <c r="K22" s="27">
        <f>IFERROR(INDEX(INDIRECT("'"&amp;J$1&amp;"'!$V$49:$V$76"),MATCH($A22,INDIRECT("'"&amp;J$1&amp;"'!$A$49:$A$76"),0)),0)</f>
        <v/>
      </c>
      <c r="L22" s="27">
        <f>IFERROR(INDEX(INDIRECT("'"&amp;L$1&amp;"'!$V$18:$V$45"),MATCH($A22,INDIRECT("'"&amp;L$1&amp;"'!$A$18:$A$45"),0)),0)</f>
        <v/>
      </c>
      <c r="M22" s="27">
        <f>IFERROR(INDEX(INDIRECT("'"&amp;L$1&amp;"'!$V$49:$V$76"),MATCH($A22,INDIRECT("'"&amp;L$1&amp;"'!$A$49:$A$76"),0)),0)</f>
        <v/>
      </c>
      <c r="N22" s="27">
        <f>IFERROR(INDEX(INDIRECT("'"&amp;N$1&amp;"'!$V$18:$V$45"),MATCH($A22,INDIRECT("'"&amp;N$1&amp;"'!$A$18:$A$45"),0)),0)</f>
        <v/>
      </c>
      <c r="O22" s="27">
        <f>IFERROR(INDEX(INDIRECT("'"&amp;N$1&amp;"'!$V$49:$V$76"),MATCH($A22,INDIRECT("'"&amp;N$1&amp;"'!$A$49:$A$76"),0)),0)</f>
        <v/>
      </c>
      <c r="P22" s="27">
        <f>IFERROR(INDEX(INDIRECT("'"&amp;P$1&amp;"'!$V$18:$V$45"),MATCH($A22,INDIRECT("'"&amp;P$1&amp;"'!$A$18:$A$45"),0)),0)</f>
        <v/>
      </c>
      <c r="Q22" s="27">
        <f>IFERROR(INDEX(INDIRECT("'"&amp;P$1&amp;"'!$V$49:$V$76"),MATCH($A22,INDIRECT("'"&amp;P$1&amp;"'!$A$49:$A$76"),0)),0)</f>
        <v/>
      </c>
      <c r="R22" s="27">
        <f>IFERROR(INDEX(INDIRECT("'"&amp;R$1&amp;"'!$V$18:$V$45"),MATCH($A22,INDIRECT("'"&amp;R$1&amp;"'!$A$18:$A$45"),0)),0)</f>
        <v/>
      </c>
      <c r="S22" s="27">
        <f>IFERROR(INDEX(INDIRECT("'"&amp;R$1&amp;"'!$V$49:$V$76"),MATCH($A22,INDIRECT("'"&amp;R$1&amp;"'!$A$49:$A$76"),0)),0)</f>
        <v/>
      </c>
      <c r="T22" s="27">
        <f>IFERROR(INDEX(INDIRECT("'"&amp;T$1&amp;"'!$V$18:$V$45"),MATCH($A22,INDIRECT("'"&amp;T$1&amp;"'!$A$18:$A$45"),0)),0)</f>
        <v/>
      </c>
      <c r="U22" s="27">
        <f>IFERROR(INDEX(INDIRECT("'"&amp;T$1&amp;"'!$V$49:$V$76"),MATCH($A22,INDIRECT("'"&amp;T$1&amp;"'!$A$49:$A$76"),0)),0)</f>
        <v/>
      </c>
      <c r="V22" s="24">
        <f>B22+D22+F22+H22+J22+L22+N22+P22+R22+T22</f>
        <v/>
      </c>
      <c r="W22" s="24">
        <f>C22+E22+G22+I22+K22+M22+O22+Q22+S22+U22</f>
        <v/>
      </c>
      <c r="X22" s="14">
        <f>IF(V22=0,"—",ROUND(W22/V22,2))</f>
        <v/>
      </c>
      <c r="Y22" s="14">
        <f>IFERROR(INDEX(INDIRECT("'"&amp;B$1&amp;"'!$V$80:$V$107"),MATCH($A22,INDIRECT("'"&amp;B$1&amp;"'!$A$80:$A$107"),0)),0)+IFERROR(INDEX(INDIRECT("'"&amp;D$1&amp;"'!$V$80:$V$107"),MATCH($A22,INDIRECT("'"&amp;D$1&amp;"'!$A$80:$A$107"),0)),0)+IFERROR(INDEX(INDIRECT("'"&amp;F$1&amp;"'!$V$80:$V$107"),MATCH($A22,INDIRECT("'"&amp;F$1&amp;"'!$A$80:$A$107"),0)),0)+IFERROR(INDEX(INDIRECT("'"&amp;H$1&amp;"'!$V$80:$V$107"),MATCH($A22,INDIRECT("'"&amp;H$1&amp;"'!$A$80:$A$107"),0)),0)+IFERROR(INDEX(INDIRECT("'"&amp;J$1&amp;"'!$V$80:$V$107"),MATCH($A22,INDIRECT("'"&amp;J$1&amp;"'!$A$80:$A$107"),0)),0)+IFERROR(INDEX(INDIRECT("'"&amp;L$1&amp;"'!$V$80:$V$107"),MATCH($A22,INDIRECT("'"&amp;L$1&amp;"'!$A$80:$A$107"),0)),0)+IFERROR(INDEX(INDIRECT("'"&amp;N$1&amp;"'!$V$80:$V$107"),MATCH($A22,INDIRECT("'"&amp;N$1&amp;"'!$A$80:$A$107"),0)),0)+IFERROR(INDEX(INDIRECT("'"&amp;P$1&amp;"'!$V$80:$V$107"),MATCH($A22,INDIRECT("'"&amp;P$1&amp;"'!$A$80:$A$107"),0)),0)+IFERROR(INDEX(INDIRECT("'"&amp;R$1&amp;"'!$V$80:$V$107"),MATCH($A22,INDIRECT("'"&amp;R$1&amp;"'!$A$80:$A$107"),0)),0)+IFERROR(INDEX(INDIRECT("'"&amp;T$1&amp;"'!$V$80:$V$107"),MATCH($A22,INDIRECT("'"&amp;T$1&amp;"'!$A$80:$A$107"),0)),0)</f>
        <v/>
      </c>
    </row>
    <row r="23" ht="15.75" customHeight="1" s="38">
      <c r="A23" s="23" t="inlineStr">
        <is>
          <t>Sam Holt</t>
        </is>
      </c>
      <c r="B23" s="27">
        <f>IFERROR(INDEX(INDIRECT("'"&amp;B$1&amp;"'!$V$18:$V$45"),MATCH($A23,INDIRECT("'"&amp;B$1&amp;"'!$A$18:$A$45"),0)),0)</f>
        <v/>
      </c>
      <c r="C23" s="27">
        <f>IFERROR(INDEX(INDIRECT("'"&amp;B$1&amp;"'!$V$49:$V$76"),MATCH($A23,INDIRECT("'"&amp;B$1&amp;"'!$A$49:$A$76"),0)),0)</f>
        <v/>
      </c>
      <c r="D23" s="27">
        <f>IFERROR(INDEX(INDIRECT("'"&amp;D$1&amp;"'!$V$18:$V$45"),MATCH($A23,INDIRECT("'"&amp;D$1&amp;"'!$A$18:$A$45"),0)),0)</f>
        <v/>
      </c>
      <c r="E23" s="27">
        <f>IFERROR(INDEX(INDIRECT("'"&amp;D$1&amp;"'!$V$49:$V$76"),MATCH($A23,INDIRECT("'"&amp;D$1&amp;"'!$A$49:$A$76"),0)),0)</f>
        <v/>
      </c>
      <c r="F23" s="27">
        <f>IFERROR(INDEX(INDIRECT("'"&amp;F$1&amp;"'!$V$18:$V$45"),MATCH($A23,INDIRECT("'"&amp;F$1&amp;"'!$A$18:$A$45"),0)),0)</f>
        <v/>
      </c>
      <c r="G23" s="27">
        <f>IFERROR(INDEX(INDIRECT("'"&amp;F$1&amp;"'!$V$49:$V$76"),MATCH($A23,INDIRECT("'"&amp;F$1&amp;"'!$A$49:$A$76"),0)),0)</f>
        <v/>
      </c>
      <c r="H23" s="27">
        <f>IFERROR(INDEX(INDIRECT("'"&amp;H$1&amp;"'!$V$18:$V$45"),MATCH($A23,INDIRECT("'"&amp;H$1&amp;"'!$A$18:$A$45"),0)),0)</f>
        <v/>
      </c>
      <c r="I23" s="27">
        <f>IFERROR(INDEX(INDIRECT("'"&amp;H$1&amp;"'!$V$49:$V$76"),MATCH($A23,INDIRECT("'"&amp;H$1&amp;"'!$A$49:$A$76"),0)),0)</f>
        <v/>
      </c>
      <c r="J23" s="27">
        <f>IFERROR(INDEX(INDIRECT("'"&amp;J$1&amp;"'!$V$18:$V$45"),MATCH($A23,INDIRECT("'"&amp;J$1&amp;"'!$A$18:$A$45"),0)),0)</f>
        <v/>
      </c>
      <c r="K23" s="27">
        <f>IFERROR(INDEX(INDIRECT("'"&amp;J$1&amp;"'!$V$49:$V$76"),MATCH($A23,INDIRECT("'"&amp;J$1&amp;"'!$A$49:$A$76"),0)),0)</f>
        <v/>
      </c>
      <c r="L23" s="27">
        <f>IFERROR(INDEX(INDIRECT("'"&amp;L$1&amp;"'!$V$18:$V$45"),MATCH($A23,INDIRECT("'"&amp;L$1&amp;"'!$A$18:$A$45"),0)),0)</f>
        <v/>
      </c>
      <c r="M23" s="27">
        <f>IFERROR(INDEX(INDIRECT("'"&amp;L$1&amp;"'!$V$49:$V$76"),MATCH($A23,INDIRECT("'"&amp;L$1&amp;"'!$A$49:$A$76"),0)),0)</f>
        <v/>
      </c>
      <c r="N23" s="27">
        <f>IFERROR(INDEX(INDIRECT("'"&amp;N$1&amp;"'!$V$18:$V$45"),MATCH($A23,INDIRECT("'"&amp;N$1&amp;"'!$A$18:$A$45"),0)),0)</f>
        <v/>
      </c>
      <c r="O23" s="27">
        <f>IFERROR(INDEX(INDIRECT("'"&amp;N$1&amp;"'!$V$49:$V$76"),MATCH($A23,INDIRECT("'"&amp;N$1&amp;"'!$A$49:$A$76"),0)),0)</f>
        <v/>
      </c>
      <c r="P23" s="27">
        <f>IFERROR(INDEX(INDIRECT("'"&amp;P$1&amp;"'!$V$18:$V$45"),MATCH($A23,INDIRECT("'"&amp;P$1&amp;"'!$A$18:$A$45"),0)),0)</f>
        <v/>
      </c>
      <c r="Q23" s="27">
        <f>IFERROR(INDEX(INDIRECT("'"&amp;P$1&amp;"'!$V$49:$V$76"),MATCH($A23,INDIRECT("'"&amp;P$1&amp;"'!$A$49:$A$76"),0)),0)</f>
        <v/>
      </c>
      <c r="R23" s="27">
        <f>IFERROR(INDEX(INDIRECT("'"&amp;R$1&amp;"'!$V$18:$V$45"),MATCH($A23,INDIRECT("'"&amp;R$1&amp;"'!$A$18:$A$45"),0)),0)</f>
        <v/>
      </c>
      <c r="S23" s="27">
        <f>IFERROR(INDEX(INDIRECT("'"&amp;R$1&amp;"'!$V$49:$V$76"),MATCH($A23,INDIRECT("'"&amp;R$1&amp;"'!$A$49:$A$76"),0)),0)</f>
        <v/>
      </c>
      <c r="T23" s="27">
        <f>IFERROR(INDEX(INDIRECT("'"&amp;T$1&amp;"'!$V$18:$V$45"),MATCH($A23,INDIRECT("'"&amp;T$1&amp;"'!$A$18:$A$45"),0)),0)</f>
        <v/>
      </c>
      <c r="U23" s="27">
        <f>IFERROR(INDEX(INDIRECT("'"&amp;T$1&amp;"'!$V$49:$V$76"),MATCH($A23,INDIRECT("'"&amp;T$1&amp;"'!$A$49:$A$76"),0)),0)</f>
        <v/>
      </c>
      <c r="V23" s="24">
        <f>B23+D23+F23+H23+J23+L23+N23+P23+R23+T23</f>
        <v/>
      </c>
      <c r="W23" s="24">
        <f>C23+E23+G23+I23+K23+M23+O23+Q23+S23+U23</f>
        <v/>
      </c>
      <c r="X23" s="14">
        <f>IF(V23=0,"—",ROUND(W23/V23,2))</f>
        <v/>
      </c>
      <c r="Y23" s="14">
        <f>IFERROR(INDEX(INDIRECT("'"&amp;B$1&amp;"'!$V$80:$V$107"),MATCH($A23,INDIRECT("'"&amp;B$1&amp;"'!$A$80:$A$107"),0)),0)+IFERROR(INDEX(INDIRECT("'"&amp;D$1&amp;"'!$V$80:$V$107"),MATCH($A23,INDIRECT("'"&amp;D$1&amp;"'!$A$80:$A$107"),0)),0)+IFERROR(INDEX(INDIRECT("'"&amp;F$1&amp;"'!$V$80:$V$107"),MATCH($A23,INDIRECT("'"&amp;F$1&amp;"'!$A$80:$A$107"),0)),0)+IFERROR(INDEX(INDIRECT("'"&amp;H$1&amp;"'!$V$80:$V$107"),MATCH($A23,INDIRECT("'"&amp;H$1&amp;"'!$A$80:$A$107"),0)),0)+IFERROR(INDEX(INDIRECT("'"&amp;J$1&amp;"'!$V$80:$V$107"),MATCH($A23,INDIRECT("'"&amp;J$1&amp;"'!$A$80:$A$107"),0)),0)+IFERROR(INDEX(INDIRECT("'"&amp;L$1&amp;"'!$V$80:$V$107"),MATCH($A23,INDIRECT("'"&amp;L$1&amp;"'!$A$80:$A$107"),0)),0)+IFERROR(INDEX(INDIRECT("'"&amp;N$1&amp;"'!$V$80:$V$107"),MATCH($A23,INDIRECT("'"&amp;N$1&amp;"'!$A$80:$A$107"),0)),0)+IFERROR(INDEX(INDIRECT("'"&amp;P$1&amp;"'!$V$80:$V$107"),MATCH($A23,INDIRECT("'"&amp;P$1&amp;"'!$A$80:$A$107"),0)),0)+IFERROR(INDEX(INDIRECT("'"&amp;R$1&amp;"'!$V$80:$V$107"),MATCH($A23,INDIRECT("'"&amp;R$1&amp;"'!$A$80:$A$107"),0)),0)+IFERROR(INDEX(INDIRECT("'"&amp;T$1&amp;"'!$V$80:$V$107"),MATCH($A23,INDIRECT("'"&amp;T$1&amp;"'!$A$80:$A$107"),0)),0)</f>
        <v/>
      </c>
    </row>
    <row r="24" ht="15.75" customHeight="1" s="38">
      <c r="A24" s="23" t="inlineStr">
        <is>
          <t>Seb Burgess</t>
        </is>
      </c>
      <c r="B24" s="27">
        <f>IFERROR(INDEX(INDIRECT("'"&amp;B$1&amp;"'!$V$18:$V$45"),MATCH($A24,INDIRECT("'"&amp;B$1&amp;"'!$A$18:$A$45"),0)),0)</f>
        <v/>
      </c>
      <c r="C24" s="27">
        <f>IFERROR(INDEX(INDIRECT("'"&amp;B$1&amp;"'!$V$49:$V$76"),MATCH($A24,INDIRECT("'"&amp;B$1&amp;"'!$A$49:$A$76"),0)),0)</f>
        <v/>
      </c>
      <c r="D24" s="27">
        <f>IFERROR(INDEX(INDIRECT("'"&amp;D$1&amp;"'!$V$18:$V$45"),MATCH($A24,INDIRECT("'"&amp;D$1&amp;"'!$A$18:$A$45"),0)),0)</f>
        <v/>
      </c>
      <c r="E24" s="27">
        <f>IFERROR(INDEX(INDIRECT("'"&amp;D$1&amp;"'!$V$49:$V$76"),MATCH($A24,INDIRECT("'"&amp;D$1&amp;"'!$A$49:$A$76"),0)),0)</f>
        <v/>
      </c>
      <c r="F24" s="27">
        <f>IFERROR(INDEX(INDIRECT("'"&amp;F$1&amp;"'!$V$18:$V$45"),MATCH($A24,INDIRECT("'"&amp;F$1&amp;"'!$A$18:$A$45"),0)),0)</f>
        <v/>
      </c>
      <c r="G24" s="27">
        <f>IFERROR(INDEX(INDIRECT("'"&amp;F$1&amp;"'!$V$49:$V$76"),MATCH($A24,INDIRECT("'"&amp;F$1&amp;"'!$A$49:$A$76"),0)),0)</f>
        <v/>
      </c>
      <c r="H24" s="27">
        <f>IFERROR(INDEX(INDIRECT("'"&amp;H$1&amp;"'!$V$18:$V$45"),MATCH($A24,INDIRECT("'"&amp;H$1&amp;"'!$A$18:$A$45"),0)),0)</f>
        <v/>
      </c>
      <c r="I24" s="27">
        <f>IFERROR(INDEX(INDIRECT("'"&amp;H$1&amp;"'!$V$49:$V$76"),MATCH($A24,INDIRECT("'"&amp;H$1&amp;"'!$A$49:$A$76"),0)),0)</f>
        <v/>
      </c>
      <c r="J24" s="27">
        <f>IFERROR(INDEX(INDIRECT("'"&amp;J$1&amp;"'!$V$18:$V$45"),MATCH($A24,INDIRECT("'"&amp;J$1&amp;"'!$A$18:$A$45"),0)),0)</f>
        <v/>
      </c>
      <c r="K24" s="27">
        <f>IFERROR(INDEX(INDIRECT("'"&amp;J$1&amp;"'!$V$49:$V$76"),MATCH($A24,INDIRECT("'"&amp;J$1&amp;"'!$A$49:$A$76"),0)),0)</f>
        <v/>
      </c>
      <c r="L24" s="27">
        <f>IFERROR(INDEX(INDIRECT("'"&amp;L$1&amp;"'!$V$18:$V$45"),MATCH($A24,INDIRECT("'"&amp;L$1&amp;"'!$A$18:$A$45"),0)),0)</f>
        <v/>
      </c>
      <c r="M24" s="27">
        <f>IFERROR(INDEX(INDIRECT("'"&amp;L$1&amp;"'!$V$49:$V$76"),MATCH($A24,INDIRECT("'"&amp;L$1&amp;"'!$A$49:$A$76"),0)),0)</f>
        <v/>
      </c>
      <c r="N24" s="27">
        <f>IFERROR(INDEX(INDIRECT("'"&amp;N$1&amp;"'!$V$18:$V$45"),MATCH($A24,INDIRECT("'"&amp;N$1&amp;"'!$A$18:$A$45"),0)),0)</f>
        <v/>
      </c>
      <c r="O24" s="27">
        <f>IFERROR(INDEX(INDIRECT("'"&amp;N$1&amp;"'!$V$49:$V$76"),MATCH($A24,INDIRECT("'"&amp;N$1&amp;"'!$A$49:$A$76"),0)),0)</f>
        <v/>
      </c>
      <c r="P24" s="27">
        <f>IFERROR(INDEX(INDIRECT("'"&amp;P$1&amp;"'!$V$18:$V$45"),MATCH($A24,INDIRECT("'"&amp;P$1&amp;"'!$A$18:$A$45"),0)),0)</f>
        <v/>
      </c>
      <c r="Q24" s="27">
        <f>IFERROR(INDEX(INDIRECT("'"&amp;P$1&amp;"'!$V$49:$V$76"),MATCH($A24,INDIRECT("'"&amp;P$1&amp;"'!$A$49:$A$76"),0)),0)</f>
        <v/>
      </c>
      <c r="R24" s="27">
        <f>IFERROR(INDEX(INDIRECT("'"&amp;R$1&amp;"'!$V$18:$V$45"),MATCH($A24,INDIRECT("'"&amp;R$1&amp;"'!$A$18:$A$45"),0)),0)</f>
        <v/>
      </c>
      <c r="S24" s="27">
        <f>IFERROR(INDEX(INDIRECT("'"&amp;R$1&amp;"'!$V$49:$V$76"),MATCH($A24,INDIRECT("'"&amp;R$1&amp;"'!$A$49:$A$76"),0)),0)</f>
        <v/>
      </c>
      <c r="T24" s="27">
        <f>IFERROR(INDEX(INDIRECT("'"&amp;T$1&amp;"'!$V$18:$V$45"),MATCH($A24,INDIRECT("'"&amp;T$1&amp;"'!$A$18:$A$45"),0)),0)</f>
        <v/>
      </c>
      <c r="U24" s="27">
        <f>IFERROR(INDEX(INDIRECT("'"&amp;T$1&amp;"'!$V$49:$V$76"),MATCH($A24,INDIRECT("'"&amp;T$1&amp;"'!$A$49:$A$76"),0)),0)</f>
        <v/>
      </c>
      <c r="V24" s="24">
        <f>B24+D24+F24+H24+J24+L24+N24+P24+R24+T24</f>
        <v/>
      </c>
      <c r="W24" s="24">
        <f>C24+E24+G24+I24+K24+M24+O24+Q24+S24+U24</f>
        <v/>
      </c>
      <c r="X24" s="14">
        <f>IF(V24=0,"—",ROUND(W24/V24,2))</f>
        <v/>
      </c>
      <c r="Y24" s="14">
        <f>IFERROR(INDEX(INDIRECT("'"&amp;B$1&amp;"'!$V$80:$V$107"),MATCH($A24,INDIRECT("'"&amp;B$1&amp;"'!$A$80:$A$107"),0)),0)+IFERROR(INDEX(INDIRECT("'"&amp;D$1&amp;"'!$V$80:$V$107"),MATCH($A24,INDIRECT("'"&amp;D$1&amp;"'!$A$80:$A$107"),0)),0)+IFERROR(INDEX(INDIRECT("'"&amp;F$1&amp;"'!$V$80:$V$107"),MATCH($A24,INDIRECT("'"&amp;F$1&amp;"'!$A$80:$A$107"),0)),0)+IFERROR(INDEX(INDIRECT("'"&amp;H$1&amp;"'!$V$80:$V$107"),MATCH($A24,INDIRECT("'"&amp;H$1&amp;"'!$A$80:$A$107"),0)),0)+IFERROR(INDEX(INDIRECT("'"&amp;J$1&amp;"'!$V$80:$V$107"),MATCH($A24,INDIRECT("'"&amp;J$1&amp;"'!$A$80:$A$107"),0)),0)+IFERROR(INDEX(INDIRECT("'"&amp;L$1&amp;"'!$V$80:$V$107"),MATCH($A24,INDIRECT("'"&amp;L$1&amp;"'!$A$80:$A$107"),0)),0)+IFERROR(INDEX(INDIRECT("'"&amp;N$1&amp;"'!$V$80:$V$107"),MATCH($A24,INDIRECT("'"&amp;N$1&amp;"'!$A$80:$A$107"),0)),0)+IFERROR(INDEX(INDIRECT("'"&amp;P$1&amp;"'!$V$80:$V$107"),MATCH($A24,INDIRECT("'"&amp;P$1&amp;"'!$A$80:$A$107"),0)),0)+IFERROR(INDEX(INDIRECT("'"&amp;R$1&amp;"'!$V$80:$V$107"),MATCH($A24,INDIRECT("'"&amp;R$1&amp;"'!$A$80:$A$107"),0)),0)+IFERROR(INDEX(INDIRECT("'"&amp;T$1&amp;"'!$V$80:$V$107"),MATCH($A24,INDIRECT("'"&amp;T$1&amp;"'!$A$80:$A$107"),0)),0)</f>
        <v/>
      </c>
    </row>
    <row r="25" ht="15.75" customHeight="1" s="38">
      <c r="A25" s="23" t="n"/>
      <c r="B25" s="27">
        <f>IFERROR(INDEX(INDIRECT("'"&amp;B$1&amp;"'!$V$18:$V$45"),MATCH($A25,INDIRECT("'"&amp;B$1&amp;"'!$A$18:$A$45"),0)),0)</f>
        <v/>
      </c>
      <c r="C25" s="27">
        <f>IFERROR(INDEX(INDIRECT("'"&amp;B$1&amp;"'!$V$49:$V$76"),MATCH($A25,INDIRECT("'"&amp;B$1&amp;"'!$A$49:$A$76"),0)),0)</f>
        <v/>
      </c>
      <c r="D25" s="27">
        <f>IFERROR(INDEX(INDIRECT("'"&amp;D$1&amp;"'!$V$18:$V$45"),MATCH($A25,INDIRECT("'"&amp;D$1&amp;"'!$A$18:$A$45"),0)),0)</f>
        <v/>
      </c>
      <c r="E25" s="27">
        <f>IFERROR(INDEX(INDIRECT("'"&amp;D$1&amp;"'!$V$49:$V$76"),MATCH($A25,INDIRECT("'"&amp;D$1&amp;"'!$A$49:$A$76"),0)),0)</f>
        <v/>
      </c>
      <c r="F25" s="27">
        <f>IFERROR(INDEX(INDIRECT("'"&amp;F$1&amp;"'!$V$18:$V$45"),MATCH($A25,INDIRECT("'"&amp;F$1&amp;"'!$A$18:$A$45"),0)),0)</f>
        <v/>
      </c>
      <c r="G25" s="27">
        <f>IFERROR(INDEX(INDIRECT("'"&amp;F$1&amp;"'!$V$49:$V$76"),MATCH($A25,INDIRECT("'"&amp;F$1&amp;"'!$A$49:$A$76"),0)),0)</f>
        <v/>
      </c>
      <c r="H25" s="27">
        <f>IFERROR(INDEX(INDIRECT("'"&amp;H$1&amp;"'!$V$18:$V$45"),MATCH($A25,INDIRECT("'"&amp;H$1&amp;"'!$A$18:$A$45"),0)),0)</f>
        <v/>
      </c>
      <c r="I25" s="27">
        <f>IFERROR(INDEX(INDIRECT("'"&amp;H$1&amp;"'!$V$49:$V$76"),MATCH($A25,INDIRECT("'"&amp;H$1&amp;"'!$A$49:$A$76"),0)),0)</f>
        <v/>
      </c>
      <c r="J25" s="27">
        <f>IFERROR(INDEX(INDIRECT("'"&amp;J$1&amp;"'!$V$18:$V$45"),MATCH($A25,INDIRECT("'"&amp;J$1&amp;"'!$A$18:$A$45"),0)),0)</f>
        <v/>
      </c>
      <c r="K25" s="27">
        <f>IFERROR(INDEX(INDIRECT("'"&amp;J$1&amp;"'!$V$49:$V$76"),MATCH($A25,INDIRECT("'"&amp;J$1&amp;"'!$A$49:$A$76"),0)),0)</f>
        <v/>
      </c>
      <c r="L25" s="27">
        <f>IFERROR(INDEX(INDIRECT("'"&amp;L$1&amp;"'!$V$18:$V$45"),MATCH($A25,INDIRECT("'"&amp;L$1&amp;"'!$A$18:$A$45"),0)),0)</f>
        <v/>
      </c>
      <c r="M25" s="27">
        <f>IFERROR(INDEX(INDIRECT("'"&amp;L$1&amp;"'!$V$49:$V$76"),MATCH($A25,INDIRECT("'"&amp;L$1&amp;"'!$A$49:$A$76"),0)),0)</f>
        <v/>
      </c>
      <c r="N25" s="27">
        <f>IFERROR(INDEX(INDIRECT("'"&amp;N$1&amp;"'!$V$18:$V$45"),MATCH($A25,INDIRECT("'"&amp;N$1&amp;"'!$A$18:$A$45"),0)),0)</f>
        <v/>
      </c>
      <c r="O25" s="27">
        <f>IFERROR(INDEX(INDIRECT("'"&amp;N$1&amp;"'!$V$49:$V$76"),MATCH($A25,INDIRECT("'"&amp;N$1&amp;"'!$A$49:$A$76"),0)),0)</f>
        <v/>
      </c>
      <c r="P25" s="27">
        <f>IFERROR(INDEX(INDIRECT("'"&amp;P$1&amp;"'!$V$18:$V$45"),MATCH($A25,INDIRECT("'"&amp;P$1&amp;"'!$A$18:$A$45"),0)),0)</f>
        <v/>
      </c>
      <c r="Q25" s="27">
        <f>IFERROR(INDEX(INDIRECT("'"&amp;P$1&amp;"'!$V$49:$V$76"),MATCH($A25,INDIRECT("'"&amp;P$1&amp;"'!$A$49:$A$76"),0)),0)</f>
        <v/>
      </c>
      <c r="R25" s="27">
        <f>IFERROR(INDEX(INDIRECT("'"&amp;R$1&amp;"'!$V$18:$V$45"),MATCH($A25,INDIRECT("'"&amp;R$1&amp;"'!$A$18:$A$45"),0)),0)</f>
        <v/>
      </c>
      <c r="S25" s="27">
        <f>IFERROR(INDEX(INDIRECT("'"&amp;R$1&amp;"'!$V$49:$V$76"),MATCH($A25,INDIRECT("'"&amp;R$1&amp;"'!$A$49:$A$76"),0)),0)</f>
        <v/>
      </c>
      <c r="T25" s="27">
        <f>IFERROR(INDEX(INDIRECT("'"&amp;T$1&amp;"'!$V$18:$V$45"),MATCH($A25,INDIRECT("'"&amp;T$1&amp;"'!$A$18:$A$45"),0)),0)</f>
        <v/>
      </c>
      <c r="U25" s="27">
        <f>IFERROR(INDEX(INDIRECT("'"&amp;T$1&amp;"'!$V$49:$V$76"),MATCH($A25,INDIRECT("'"&amp;T$1&amp;"'!$A$49:$A$76"),0)),0)</f>
        <v/>
      </c>
      <c r="V25" s="24">
        <f>B25+D25+F25+H25+J25+L25+N25+P25+R25+T25</f>
        <v/>
      </c>
      <c r="W25" s="24">
        <f>C25+E25+G25+I25+K25+M25+O25+Q25+S25+U25</f>
        <v/>
      </c>
      <c r="X25" s="14">
        <f>IF(V25=0,"—",ROUND(W25/V25,2))</f>
        <v/>
      </c>
      <c r="Y25" s="14">
        <f>IFERROR(INDEX(INDIRECT("'"&amp;B$1&amp;"'!$V$80:$V$107"),MATCH($A25,INDIRECT("'"&amp;B$1&amp;"'!$A$80:$A$107"),0)),0)+IFERROR(INDEX(INDIRECT("'"&amp;D$1&amp;"'!$V$80:$V$107"),MATCH($A25,INDIRECT("'"&amp;D$1&amp;"'!$A$80:$A$107"),0)),0)+IFERROR(INDEX(INDIRECT("'"&amp;F$1&amp;"'!$V$80:$V$107"),MATCH($A25,INDIRECT("'"&amp;F$1&amp;"'!$A$80:$A$107"),0)),0)+IFERROR(INDEX(INDIRECT("'"&amp;H$1&amp;"'!$V$80:$V$107"),MATCH($A25,INDIRECT("'"&amp;H$1&amp;"'!$A$80:$A$107"),0)),0)+IFERROR(INDEX(INDIRECT("'"&amp;J$1&amp;"'!$V$80:$V$107"),MATCH($A25,INDIRECT("'"&amp;J$1&amp;"'!$A$80:$A$107"),0)),0)+IFERROR(INDEX(INDIRECT("'"&amp;L$1&amp;"'!$V$80:$V$107"),MATCH($A25,INDIRECT("'"&amp;L$1&amp;"'!$A$80:$A$107"),0)),0)+IFERROR(INDEX(INDIRECT("'"&amp;N$1&amp;"'!$V$80:$V$107"),MATCH($A25,INDIRECT("'"&amp;N$1&amp;"'!$A$80:$A$107"),0)),0)+IFERROR(INDEX(INDIRECT("'"&amp;P$1&amp;"'!$V$80:$V$107"),MATCH($A25,INDIRECT("'"&amp;P$1&amp;"'!$A$80:$A$107"),0)),0)+IFERROR(INDEX(INDIRECT("'"&amp;R$1&amp;"'!$V$80:$V$107"),MATCH($A25,INDIRECT("'"&amp;R$1&amp;"'!$A$80:$A$107"),0)),0)+IFERROR(INDEX(INDIRECT("'"&amp;T$1&amp;"'!$V$80:$V$107"),MATCH($A25,INDIRECT("'"&amp;T$1&amp;"'!$A$80:$A$107"),0)),0)</f>
        <v/>
      </c>
    </row>
    <row r="26" ht="15.75" customHeight="1" s="38">
      <c r="A26" s="23" t="n"/>
      <c r="B26" s="27">
        <f>IFERROR(INDEX(INDIRECT("'"&amp;B$1&amp;"'!$V$18:$V$45"),MATCH($A26,INDIRECT("'"&amp;B$1&amp;"'!$A$18:$A$45"),0)),0)</f>
        <v/>
      </c>
      <c r="C26" s="27">
        <f>IFERROR(INDEX(INDIRECT("'"&amp;B$1&amp;"'!$V$49:$V$76"),MATCH($A26,INDIRECT("'"&amp;B$1&amp;"'!$A$49:$A$76"),0)),0)</f>
        <v/>
      </c>
      <c r="D26" s="27">
        <f>IFERROR(INDEX(INDIRECT("'"&amp;D$1&amp;"'!$V$18:$V$45"),MATCH($A26,INDIRECT("'"&amp;D$1&amp;"'!$A$18:$A$45"),0)),0)</f>
        <v/>
      </c>
      <c r="E26" s="27">
        <f>IFERROR(INDEX(INDIRECT("'"&amp;D$1&amp;"'!$V$49:$V$76"),MATCH($A26,INDIRECT("'"&amp;D$1&amp;"'!$A$49:$A$76"),0)),0)</f>
        <v/>
      </c>
      <c r="F26" s="27">
        <f>IFERROR(INDEX(INDIRECT("'"&amp;F$1&amp;"'!$V$18:$V$45"),MATCH($A26,INDIRECT("'"&amp;F$1&amp;"'!$A$18:$A$45"),0)),0)</f>
        <v/>
      </c>
      <c r="G26" s="27">
        <f>IFERROR(INDEX(INDIRECT("'"&amp;F$1&amp;"'!$V$49:$V$76"),MATCH($A26,INDIRECT("'"&amp;F$1&amp;"'!$A$49:$A$76"),0)),0)</f>
        <v/>
      </c>
      <c r="H26" s="27">
        <f>IFERROR(INDEX(INDIRECT("'"&amp;H$1&amp;"'!$V$18:$V$45"),MATCH($A26,INDIRECT("'"&amp;H$1&amp;"'!$A$18:$A$45"),0)),0)</f>
        <v/>
      </c>
      <c r="I26" s="27">
        <f>IFERROR(INDEX(INDIRECT("'"&amp;H$1&amp;"'!$V$49:$V$76"),MATCH($A26,INDIRECT("'"&amp;H$1&amp;"'!$A$49:$A$76"),0)),0)</f>
        <v/>
      </c>
      <c r="J26" s="27">
        <f>IFERROR(INDEX(INDIRECT("'"&amp;J$1&amp;"'!$V$18:$V$45"),MATCH($A26,INDIRECT("'"&amp;J$1&amp;"'!$A$18:$A$45"),0)),0)</f>
        <v/>
      </c>
      <c r="K26" s="27">
        <f>IFERROR(INDEX(INDIRECT("'"&amp;J$1&amp;"'!$V$49:$V$76"),MATCH($A26,INDIRECT("'"&amp;J$1&amp;"'!$A$49:$A$76"),0)),0)</f>
        <v/>
      </c>
      <c r="L26" s="27">
        <f>IFERROR(INDEX(INDIRECT("'"&amp;L$1&amp;"'!$V$18:$V$45"),MATCH($A26,INDIRECT("'"&amp;L$1&amp;"'!$A$18:$A$45"),0)),0)</f>
        <v/>
      </c>
      <c r="M26" s="27">
        <f>IFERROR(INDEX(INDIRECT("'"&amp;L$1&amp;"'!$V$49:$V$76"),MATCH($A26,INDIRECT("'"&amp;L$1&amp;"'!$A$49:$A$76"),0)),0)</f>
        <v/>
      </c>
      <c r="N26" s="27">
        <f>IFERROR(INDEX(INDIRECT("'"&amp;N$1&amp;"'!$V$18:$V$45"),MATCH($A26,INDIRECT("'"&amp;N$1&amp;"'!$A$18:$A$45"),0)),0)</f>
        <v/>
      </c>
      <c r="O26" s="27">
        <f>IFERROR(INDEX(INDIRECT("'"&amp;N$1&amp;"'!$V$49:$V$76"),MATCH($A26,INDIRECT("'"&amp;N$1&amp;"'!$A$49:$A$76"),0)),0)</f>
        <v/>
      </c>
      <c r="P26" s="27">
        <f>IFERROR(INDEX(INDIRECT("'"&amp;P$1&amp;"'!$V$18:$V$45"),MATCH($A26,INDIRECT("'"&amp;P$1&amp;"'!$A$18:$A$45"),0)),0)</f>
        <v/>
      </c>
      <c r="Q26" s="27">
        <f>IFERROR(INDEX(INDIRECT("'"&amp;P$1&amp;"'!$V$49:$V$76"),MATCH($A26,INDIRECT("'"&amp;P$1&amp;"'!$A$49:$A$76"),0)),0)</f>
        <v/>
      </c>
      <c r="R26" s="27">
        <f>IFERROR(INDEX(INDIRECT("'"&amp;R$1&amp;"'!$V$18:$V$45"),MATCH($A26,INDIRECT("'"&amp;R$1&amp;"'!$A$18:$A$45"),0)),0)</f>
        <v/>
      </c>
      <c r="S26" s="27">
        <f>IFERROR(INDEX(INDIRECT("'"&amp;R$1&amp;"'!$V$49:$V$76"),MATCH($A26,INDIRECT("'"&amp;R$1&amp;"'!$A$49:$A$76"),0)),0)</f>
        <v/>
      </c>
      <c r="T26" s="27">
        <f>IFERROR(INDEX(INDIRECT("'"&amp;T$1&amp;"'!$V$18:$V$45"),MATCH($A26,INDIRECT("'"&amp;T$1&amp;"'!$A$18:$A$45"),0)),0)</f>
        <v/>
      </c>
      <c r="U26" s="27">
        <f>IFERROR(INDEX(INDIRECT("'"&amp;T$1&amp;"'!$V$49:$V$76"),MATCH($A26,INDIRECT("'"&amp;T$1&amp;"'!$A$49:$A$76"),0)),0)</f>
        <v/>
      </c>
      <c r="V26" s="24">
        <f>B26+D26+F26+H26+J26+L26+N26+P26+R26+T26</f>
        <v/>
      </c>
      <c r="W26" s="24">
        <f>C26+E26+G26+I26+K26+M26+O26+Q26+S26+U26</f>
        <v/>
      </c>
      <c r="X26" s="14">
        <f>IF(V26=0,"—",ROUND(W26/V26,2))</f>
        <v/>
      </c>
      <c r="Y26" s="14">
        <f>IFERROR(INDEX(INDIRECT("'"&amp;B$1&amp;"'!$V$80:$V$107"),MATCH($A26,INDIRECT("'"&amp;B$1&amp;"'!$A$80:$A$107"),0)),0)+IFERROR(INDEX(INDIRECT("'"&amp;D$1&amp;"'!$V$80:$V$107"),MATCH($A26,INDIRECT("'"&amp;D$1&amp;"'!$A$80:$A$107"),0)),0)+IFERROR(INDEX(INDIRECT("'"&amp;F$1&amp;"'!$V$80:$V$107"),MATCH($A26,INDIRECT("'"&amp;F$1&amp;"'!$A$80:$A$107"),0)),0)+IFERROR(INDEX(INDIRECT("'"&amp;H$1&amp;"'!$V$80:$V$107"),MATCH($A26,INDIRECT("'"&amp;H$1&amp;"'!$A$80:$A$107"),0)),0)+IFERROR(INDEX(INDIRECT("'"&amp;J$1&amp;"'!$V$80:$V$107"),MATCH($A26,INDIRECT("'"&amp;J$1&amp;"'!$A$80:$A$107"),0)),0)+IFERROR(INDEX(INDIRECT("'"&amp;L$1&amp;"'!$V$80:$V$107"),MATCH($A26,INDIRECT("'"&amp;L$1&amp;"'!$A$80:$A$107"),0)),0)+IFERROR(INDEX(INDIRECT("'"&amp;N$1&amp;"'!$V$80:$V$107"),MATCH($A26,INDIRECT("'"&amp;N$1&amp;"'!$A$80:$A$107"),0)),0)+IFERROR(INDEX(INDIRECT("'"&amp;P$1&amp;"'!$V$80:$V$107"),MATCH($A26,INDIRECT("'"&amp;P$1&amp;"'!$A$80:$A$107"),0)),0)+IFERROR(INDEX(INDIRECT("'"&amp;R$1&amp;"'!$V$80:$V$107"),MATCH($A26,INDIRECT("'"&amp;R$1&amp;"'!$A$80:$A$107"),0)),0)+IFERROR(INDEX(INDIRECT("'"&amp;T$1&amp;"'!$V$80:$V$107"),MATCH($A26,INDIRECT("'"&amp;T$1&amp;"'!$A$80:$A$107"),0)),0)</f>
        <v/>
      </c>
    </row>
    <row r="27" ht="15.75" customHeight="1" s="38">
      <c r="A27" s="23" t="n"/>
      <c r="B27" s="27">
        <f>IFERROR(INDEX(INDIRECT("'"&amp;B$1&amp;"'!$V$18:$V$45"),MATCH($A27,INDIRECT("'"&amp;B$1&amp;"'!$A$18:$A$45"),0)),0)</f>
        <v/>
      </c>
      <c r="C27" s="27">
        <f>IFERROR(INDEX(INDIRECT("'"&amp;B$1&amp;"'!$V$49:$V$76"),MATCH($A27,INDIRECT("'"&amp;B$1&amp;"'!$A$49:$A$76"),0)),0)</f>
        <v/>
      </c>
      <c r="D27" s="27">
        <f>IFERROR(INDEX(INDIRECT("'"&amp;D$1&amp;"'!$V$18:$V$45"),MATCH($A27,INDIRECT("'"&amp;D$1&amp;"'!$A$18:$A$45"),0)),0)</f>
        <v/>
      </c>
      <c r="E27" s="27">
        <f>IFERROR(INDEX(INDIRECT("'"&amp;D$1&amp;"'!$V$49:$V$76"),MATCH($A27,INDIRECT("'"&amp;D$1&amp;"'!$A$49:$A$76"),0)),0)</f>
        <v/>
      </c>
      <c r="F27" s="27">
        <f>IFERROR(INDEX(INDIRECT("'"&amp;F$1&amp;"'!$V$18:$V$45"),MATCH($A27,INDIRECT("'"&amp;F$1&amp;"'!$A$18:$A$45"),0)),0)</f>
        <v/>
      </c>
      <c r="G27" s="27">
        <f>IFERROR(INDEX(INDIRECT("'"&amp;F$1&amp;"'!$V$49:$V$76"),MATCH($A27,INDIRECT("'"&amp;F$1&amp;"'!$A$49:$A$76"),0)),0)</f>
        <v/>
      </c>
      <c r="H27" s="27">
        <f>IFERROR(INDEX(INDIRECT("'"&amp;H$1&amp;"'!$V$18:$V$45"),MATCH($A27,INDIRECT("'"&amp;H$1&amp;"'!$A$18:$A$45"),0)),0)</f>
        <v/>
      </c>
      <c r="I27" s="27">
        <f>IFERROR(INDEX(INDIRECT("'"&amp;H$1&amp;"'!$V$49:$V$76"),MATCH($A27,INDIRECT("'"&amp;H$1&amp;"'!$A$49:$A$76"),0)),0)</f>
        <v/>
      </c>
      <c r="J27" s="27">
        <f>IFERROR(INDEX(INDIRECT("'"&amp;J$1&amp;"'!$V$18:$V$45"),MATCH($A27,INDIRECT("'"&amp;J$1&amp;"'!$A$18:$A$45"),0)),0)</f>
        <v/>
      </c>
      <c r="K27" s="27">
        <f>IFERROR(INDEX(INDIRECT("'"&amp;J$1&amp;"'!$V$49:$V$76"),MATCH($A27,INDIRECT("'"&amp;J$1&amp;"'!$A$49:$A$76"),0)),0)</f>
        <v/>
      </c>
      <c r="L27" s="27">
        <f>IFERROR(INDEX(INDIRECT("'"&amp;L$1&amp;"'!$V$18:$V$45"),MATCH($A27,INDIRECT("'"&amp;L$1&amp;"'!$A$18:$A$45"),0)),0)</f>
        <v/>
      </c>
      <c r="M27" s="27">
        <f>IFERROR(INDEX(INDIRECT("'"&amp;L$1&amp;"'!$V$49:$V$76"),MATCH($A27,INDIRECT("'"&amp;L$1&amp;"'!$A$49:$A$76"),0)),0)</f>
        <v/>
      </c>
      <c r="N27" s="27">
        <f>IFERROR(INDEX(INDIRECT("'"&amp;N$1&amp;"'!$V$18:$V$45"),MATCH($A27,INDIRECT("'"&amp;N$1&amp;"'!$A$18:$A$45"),0)),0)</f>
        <v/>
      </c>
      <c r="O27" s="27">
        <f>IFERROR(INDEX(INDIRECT("'"&amp;N$1&amp;"'!$V$49:$V$76"),MATCH($A27,INDIRECT("'"&amp;N$1&amp;"'!$A$49:$A$76"),0)),0)</f>
        <v/>
      </c>
      <c r="P27" s="27">
        <f>IFERROR(INDEX(INDIRECT("'"&amp;P$1&amp;"'!$V$18:$V$45"),MATCH($A27,INDIRECT("'"&amp;P$1&amp;"'!$A$18:$A$45"),0)),0)</f>
        <v/>
      </c>
      <c r="Q27" s="27">
        <f>IFERROR(INDEX(INDIRECT("'"&amp;P$1&amp;"'!$V$49:$V$76"),MATCH($A27,INDIRECT("'"&amp;P$1&amp;"'!$A$49:$A$76"),0)),0)</f>
        <v/>
      </c>
      <c r="R27" s="27">
        <f>IFERROR(INDEX(INDIRECT("'"&amp;R$1&amp;"'!$V$18:$V$45"),MATCH($A27,INDIRECT("'"&amp;R$1&amp;"'!$A$18:$A$45"),0)),0)</f>
        <v/>
      </c>
      <c r="S27" s="27">
        <f>IFERROR(INDEX(INDIRECT("'"&amp;R$1&amp;"'!$V$49:$V$76"),MATCH($A27,INDIRECT("'"&amp;R$1&amp;"'!$A$49:$A$76"),0)),0)</f>
        <v/>
      </c>
      <c r="T27" s="27">
        <f>IFERROR(INDEX(INDIRECT("'"&amp;T$1&amp;"'!$V$18:$V$45"),MATCH($A27,INDIRECT("'"&amp;T$1&amp;"'!$A$18:$A$45"),0)),0)</f>
        <v/>
      </c>
      <c r="U27" s="27">
        <f>IFERROR(INDEX(INDIRECT("'"&amp;T$1&amp;"'!$V$49:$V$76"),MATCH($A27,INDIRECT("'"&amp;T$1&amp;"'!$A$49:$A$76"),0)),0)</f>
        <v/>
      </c>
      <c r="V27" s="24">
        <f>B27+D27+F27+H27+J27+L27+N27+P27+R27+T27</f>
        <v/>
      </c>
      <c r="W27" s="24">
        <f>C27+E27+G27+I27+K27+M27+O27+Q27+S27+U27</f>
        <v/>
      </c>
      <c r="X27" s="14">
        <f>IF(V27=0,"—",ROUND(W27/V27,2))</f>
        <v/>
      </c>
      <c r="Y27" s="14">
        <f>IFERROR(INDEX(INDIRECT("'"&amp;B$1&amp;"'!$V$80:$V$107"),MATCH($A27,INDIRECT("'"&amp;B$1&amp;"'!$A$80:$A$107"),0)),0)+IFERROR(INDEX(INDIRECT("'"&amp;D$1&amp;"'!$V$80:$V$107"),MATCH($A27,INDIRECT("'"&amp;D$1&amp;"'!$A$80:$A$107"),0)),0)+IFERROR(INDEX(INDIRECT("'"&amp;F$1&amp;"'!$V$80:$V$107"),MATCH($A27,INDIRECT("'"&amp;F$1&amp;"'!$A$80:$A$107"),0)),0)+IFERROR(INDEX(INDIRECT("'"&amp;H$1&amp;"'!$V$80:$V$107"),MATCH($A27,INDIRECT("'"&amp;H$1&amp;"'!$A$80:$A$107"),0)),0)+IFERROR(INDEX(INDIRECT("'"&amp;J$1&amp;"'!$V$80:$V$107"),MATCH($A27,INDIRECT("'"&amp;J$1&amp;"'!$A$80:$A$107"),0)),0)+IFERROR(INDEX(INDIRECT("'"&amp;L$1&amp;"'!$V$80:$V$107"),MATCH($A27,INDIRECT("'"&amp;L$1&amp;"'!$A$80:$A$107"),0)),0)+IFERROR(INDEX(INDIRECT("'"&amp;N$1&amp;"'!$V$80:$V$107"),MATCH($A27,INDIRECT("'"&amp;N$1&amp;"'!$A$80:$A$107"),0)),0)+IFERROR(INDEX(INDIRECT("'"&amp;P$1&amp;"'!$V$80:$V$107"),MATCH($A27,INDIRECT("'"&amp;P$1&amp;"'!$A$80:$A$107"),0)),0)+IFERROR(INDEX(INDIRECT("'"&amp;R$1&amp;"'!$V$80:$V$107"),MATCH($A27,INDIRECT("'"&amp;R$1&amp;"'!$A$80:$A$107"),0)),0)+IFERROR(INDEX(INDIRECT("'"&amp;T$1&amp;"'!$V$80:$V$107"),MATCH($A27,INDIRECT("'"&amp;T$1&amp;"'!$A$80:$A$107"),0)),0)</f>
        <v/>
      </c>
    </row>
    <row r="28" ht="15.75" customHeight="1" s="38">
      <c r="A28" s="23" t="n"/>
      <c r="B28" s="27">
        <f>IFERROR(INDEX(INDIRECT("'"&amp;B$1&amp;"'!$V$18:$V$45"),MATCH($A28,INDIRECT("'"&amp;B$1&amp;"'!$A$18:$A$45"),0)),0)</f>
        <v/>
      </c>
      <c r="C28" s="27">
        <f>IFERROR(INDEX(INDIRECT("'"&amp;B$1&amp;"'!$V$49:$V$76"),MATCH($A28,INDIRECT("'"&amp;B$1&amp;"'!$A$49:$A$76"),0)),0)</f>
        <v/>
      </c>
      <c r="D28" s="27">
        <f>IFERROR(INDEX(INDIRECT("'"&amp;D$1&amp;"'!$V$18:$V$45"),MATCH($A28,INDIRECT("'"&amp;D$1&amp;"'!$A$18:$A$45"),0)),0)</f>
        <v/>
      </c>
      <c r="E28" s="27">
        <f>IFERROR(INDEX(INDIRECT("'"&amp;D$1&amp;"'!$V$49:$V$76"),MATCH($A28,INDIRECT("'"&amp;D$1&amp;"'!$A$49:$A$76"),0)),0)</f>
        <v/>
      </c>
      <c r="F28" s="27">
        <f>IFERROR(INDEX(INDIRECT("'"&amp;F$1&amp;"'!$V$18:$V$45"),MATCH($A28,INDIRECT("'"&amp;F$1&amp;"'!$A$18:$A$45"),0)),0)</f>
        <v/>
      </c>
      <c r="G28" s="27">
        <f>IFERROR(INDEX(INDIRECT("'"&amp;F$1&amp;"'!$V$49:$V$76"),MATCH($A28,INDIRECT("'"&amp;F$1&amp;"'!$A$49:$A$76"),0)),0)</f>
        <v/>
      </c>
      <c r="H28" s="27">
        <f>IFERROR(INDEX(INDIRECT("'"&amp;H$1&amp;"'!$V$18:$V$45"),MATCH($A28,INDIRECT("'"&amp;H$1&amp;"'!$A$18:$A$45"),0)),0)</f>
        <v/>
      </c>
      <c r="I28" s="27">
        <f>IFERROR(INDEX(INDIRECT("'"&amp;H$1&amp;"'!$V$49:$V$76"),MATCH($A28,INDIRECT("'"&amp;H$1&amp;"'!$A$49:$A$76"),0)),0)</f>
        <v/>
      </c>
      <c r="J28" s="27">
        <f>IFERROR(INDEX(INDIRECT("'"&amp;J$1&amp;"'!$V$18:$V$45"),MATCH($A28,INDIRECT("'"&amp;J$1&amp;"'!$A$18:$A$45"),0)),0)</f>
        <v/>
      </c>
      <c r="K28" s="27">
        <f>IFERROR(INDEX(INDIRECT("'"&amp;J$1&amp;"'!$V$49:$V$76"),MATCH($A28,INDIRECT("'"&amp;J$1&amp;"'!$A$49:$A$76"),0)),0)</f>
        <v/>
      </c>
      <c r="L28" s="27">
        <f>IFERROR(INDEX(INDIRECT("'"&amp;L$1&amp;"'!$V$18:$V$45"),MATCH($A28,INDIRECT("'"&amp;L$1&amp;"'!$A$18:$A$45"),0)),0)</f>
        <v/>
      </c>
      <c r="M28" s="27">
        <f>IFERROR(INDEX(INDIRECT("'"&amp;L$1&amp;"'!$V$49:$V$76"),MATCH($A28,INDIRECT("'"&amp;L$1&amp;"'!$A$49:$A$76"),0)),0)</f>
        <v/>
      </c>
      <c r="N28" s="27">
        <f>IFERROR(INDEX(INDIRECT("'"&amp;N$1&amp;"'!$V$18:$V$45"),MATCH($A28,INDIRECT("'"&amp;N$1&amp;"'!$A$18:$A$45"),0)),0)</f>
        <v/>
      </c>
      <c r="O28" s="27">
        <f>IFERROR(INDEX(INDIRECT("'"&amp;N$1&amp;"'!$V$49:$V$76"),MATCH($A28,INDIRECT("'"&amp;N$1&amp;"'!$A$49:$A$76"),0)),0)</f>
        <v/>
      </c>
      <c r="P28" s="27">
        <f>IFERROR(INDEX(INDIRECT("'"&amp;P$1&amp;"'!$V$18:$V$45"),MATCH($A28,INDIRECT("'"&amp;P$1&amp;"'!$A$18:$A$45"),0)),0)</f>
        <v/>
      </c>
      <c r="Q28" s="27">
        <f>IFERROR(INDEX(INDIRECT("'"&amp;P$1&amp;"'!$V$49:$V$76"),MATCH($A28,INDIRECT("'"&amp;P$1&amp;"'!$A$49:$A$76"),0)),0)</f>
        <v/>
      </c>
      <c r="R28" s="27">
        <f>IFERROR(INDEX(INDIRECT("'"&amp;R$1&amp;"'!$V$18:$V$45"),MATCH($A28,INDIRECT("'"&amp;R$1&amp;"'!$A$18:$A$45"),0)),0)</f>
        <v/>
      </c>
      <c r="S28" s="27">
        <f>IFERROR(INDEX(INDIRECT("'"&amp;R$1&amp;"'!$V$49:$V$76"),MATCH($A28,INDIRECT("'"&amp;R$1&amp;"'!$A$49:$A$76"),0)),0)</f>
        <v/>
      </c>
      <c r="T28" s="27">
        <f>IFERROR(INDEX(INDIRECT("'"&amp;T$1&amp;"'!$V$18:$V$45"),MATCH($A28,INDIRECT("'"&amp;T$1&amp;"'!$A$18:$A$45"),0)),0)</f>
        <v/>
      </c>
      <c r="U28" s="27">
        <f>IFERROR(INDEX(INDIRECT("'"&amp;T$1&amp;"'!$V$49:$V$76"),MATCH($A28,INDIRECT("'"&amp;T$1&amp;"'!$A$49:$A$76"),0)),0)</f>
        <v/>
      </c>
      <c r="V28" s="24">
        <f>B28+D28+F28+H28+J28+L28+N28+P28+R28+T28</f>
        <v/>
      </c>
      <c r="W28" s="24">
        <f>C28+E28+G28+I28+K28+M28+O28+Q28+S28+U28</f>
        <v/>
      </c>
      <c r="X28" s="14">
        <f>IF(V28=0,"—",ROUND(W28/V28,2))</f>
        <v/>
      </c>
      <c r="Y28" s="14">
        <f>IFERROR(INDEX(INDIRECT("'"&amp;B$1&amp;"'!$V$80:$V$107"),MATCH($A28,INDIRECT("'"&amp;B$1&amp;"'!$A$80:$A$107"),0)),0)+IFERROR(INDEX(INDIRECT("'"&amp;D$1&amp;"'!$V$80:$V$107"),MATCH($A28,INDIRECT("'"&amp;D$1&amp;"'!$A$80:$A$107"),0)),0)+IFERROR(INDEX(INDIRECT("'"&amp;F$1&amp;"'!$V$80:$V$107"),MATCH($A28,INDIRECT("'"&amp;F$1&amp;"'!$A$80:$A$107"),0)),0)+IFERROR(INDEX(INDIRECT("'"&amp;H$1&amp;"'!$V$80:$V$107"),MATCH($A28,INDIRECT("'"&amp;H$1&amp;"'!$A$80:$A$107"),0)),0)+IFERROR(INDEX(INDIRECT("'"&amp;J$1&amp;"'!$V$80:$V$107"),MATCH($A28,INDIRECT("'"&amp;J$1&amp;"'!$A$80:$A$107"),0)),0)+IFERROR(INDEX(INDIRECT("'"&amp;L$1&amp;"'!$V$80:$V$107"),MATCH($A28,INDIRECT("'"&amp;L$1&amp;"'!$A$80:$A$107"),0)),0)+IFERROR(INDEX(INDIRECT("'"&amp;N$1&amp;"'!$V$80:$V$107"),MATCH($A28,INDIRECT("'"&amp;N$1&amp;"'!$A$80:$A$107"),0)),0)+IFERROR(INDEX(INDIRECT("'"&amp;P$1&amp;"'!$V$80:$V$107"),MATCH($A28,INDIRECT("'"&amp;P$1&amp;"'!$A$80:$A$107"),0)),0)+IFERROR(INDEX(INDIRECT("'"&amp;R$1&amp;"'!$V$80:$V$107"),MATCH($A28,INDIRECT("'"&amp;R$1&amp;"'!$A$80:$A$107"),0)),0)+IFERROR(INDEX(INDIRECT("'"&amp;T$1&amp;"'!$V$80:$V$107"),MATCH($A28,INDIRECT("'"&amp;T$1&amp;"'!$A$80:$A$107"),0)),0)</f>
        <v/>
      </c>
    </row>
    <row r="29" ht="15.75" customHeight="1" s="38">
      <c r="A29" s="23" t="n"/>
      <c r="B29" s="27">
        <f>IFERROR(INDEX(INDIRECT("'"&amp;B$1&amp;"'!$V$18:$V$45"),MATCH($A29,INDIRECT("'"&amp;B$1&amp;"'!$A$18:$A$45"),0)),0)</f>
        <v/>
      </c>
      <c r="C29" s="27">
        <f>IFERROR(INDEX(INDIRECT("'"&amp;B$1&amp;"'!$V$49:$V$76"),MATCH($A29,INDIRECT("'"&amp;B$1&amp;"'!$A$49:$A$76"),0)),0)</f>
        <v/>
      </c>
      <c r="D29" s="27">
        <f>IFERROR(INDEX(INDIRECT("'"&amp;D$1&amp;"'!$V$18:$V$45"),MATCH($A29,INDIRECT("'"&amp;D$1&amp;"'!$A$18:$A$45"),0)),0)</f>
        <v/>
      </c>
      <c r="E29" s="27">
        <f>IFERROR(INDEX(INDIRECT("'"&amp;D$1&amp;"'!$V$49:$V$76"),MATCH($A29,INDIRECT("'"&amp;D$1&amp;"'!$A$49:$A$76"),0)),0)</f>
        <v/>
      </c>
      <c r="F29" s="27">
        <f>IFERROR(INDEX(INDIRECT("'"&amp;F$1&amp;"'!$V$18:$V$45"),MATCH($A29,INDIRECT("'"&amp;F$1&amp;"'!$A$18:$A$45"),0)),0)</f>
        <v/>
      </c>
      <c r="G29" s="27">
        <f>IFERROR(INDEX(INDIRECT("'"&amp;F$1&amp;"'!$V$49:$V$76"),MATCH($A29,INDIRECT("'"&amp;F$1&amp;"'!$A$49:$A$76"),0)),0)</f>
        <v/>
      </c>
      <c r="H29" s="27">
        <f>IFERROR(INDEX(INDIRECT("'"&amp;H$1&amp;"'!$V$18:$V$45"),MATCH($A29,INDIRECT("'"&amp;H$1&amp;"'!$A$18:$A$45"),0)),0)</f>
        <v/>
      </c>
      <c r="I29" s="27">
        <f>IFERROR(INDEX(INDIRECT("'"&amp;H$1&amp;"'!$V$49:$V$76"),MATCH($A29,INDIRECT("'"&amp;H$1&amp;"'!$A$49:$A$76"),0)),0)</f>
        <v/>
      </c>
      <c r="J29" s="27">
        <f>IFERROR(INDEX(INDIRECT("'"&amp;J$1&amp;"'!$V$18:$V$45"),MATCH($A29,INDIRECT("'"&amp;J$1&amp;"'!$A$18:$A$45"),0)),0)</f>
        <v/>
      </c>
      <c r="K29" s="27">
        <f>IFERROR(INDEX(INDIRECT("'"&amp;J$1&amp;"'!$V$49:$V$76"),MATCH($A29,INDIRECT("'"&amp;J$1&amp;"'!$A$49:$A$76"),0)),0)</f>
        <v/>
      </c>
      <c r="L29" s="27">
        <f>IFERROR(INDEX(INDIRECT("'"&amp;L$1&amp;"'!$V$18:$V$45"),MATCH($A29,INDIRECT("'"&amp;L$1&amp;"'!$A$18:$A$45"),0)),0)</f>
        <v/>
      </c>
      <c r="M29" s="27">
        <f>IFERROR(INDEX(INDIRECT("'"&amp;L$1&amp;"'!$V$49:$V$76"),MATCH($A29,INDIRECT("'"&amp;L$1&amp;"'!$A$49:$A$76"),0)),0)</f>
        <v/>
      </c>
      <c r="N29" s="27">
        <f>IFERROR(INDEX(INDIRECT("'"&amp;N$1&amp;"'!$V$18:$V$45"),MATCH($A29,INDIRECT("'"&amp;N$1&amp;"'!$A$18:$A$45"),0)),0)</f>
        <v/>
      </c>
      <c r="O29" s="27">
        <f>IFERROR(INDEX(INDIRECT("'"&amp;N$1&amp;"'!$V$49:$V$76"),MATCH($A29,INDIRECT("'"&amp;N$1&amp;"'!$A$49:$A$76"),0)),0)</f>
        <v/>
      </c>
      <c r="P29" s="27">
        <f>IFERROR(INDEX(INDIRECT("'"&amp;P$1&amp;"'!$V$18:$V$45"),MATCH($A29,INDIRECT("'"&amp;P$1&amp;"'!$A$18:$A$45"),0)),0)</f>
        <v/>
      </c>
      <c r="Q29" s="27">
        <f>IFERROR(INDEX(INDIRECT("'"&amp;P$1&amp;"'!$V$49:$V$76"),MATCH($A29,INDIRECT("'"&amp;P$1&amp;"'!$A$49:$A$76"),0)),0)</f>
        <v/>
      </c>
      <c r="R29" s="27">
        <f>IFERROR(INDEX(INDIRECT("'"&amp;R$1&amp;"'!$V$18:$V$45"),MATCH($A29,INDIRECT("'"&amp;R$1&amp;"'!$A$18:$A$45"),0)),0)</f>
        <v/>
      </c>
      <c r="S29" s="27">
        <f>IFERROR(INDEX(INDIRECT("'"&amp;R$1&amp;"'!$V$49:$V$76"),MATCH($A29,INDIRECT("'"&amp;R$1&amp;"'!$A$49:$A$76"),0)),0)</f>
        <v/>
      </c>
      <c r="T29" s="27">
        <f>IFERROR(INDEX(INDIRECT("'"&amp;T$1&amp;"'!$V$18:$V$45"),MATCH($A29,INDIRECT("'"&amp;T$1&amp;"'!$A$18:$A$45"),0)),0)</f>
        <v/>
      </c>
      <c r="U29" s="27">
        <f>IFERROR(INDEX(INDIRECT("'"&amp;T$1&amp;"'!$V$49:$V$76"),MATCH($A29,INDIRECT("'"&amp;T$1&amp;"'!$A$49:$A$76"),0)),0)</f>
        <v/>
      </c>
      <c r="V29" s="24">
        <f>B29+D29+F29+H29+J29+L29+N29+P29+R29+T29</f>
        <v/>
      </c>
      <c r="W29" s="24">
        <f>C29+E29+G29+I29+K29+M29+O29+Q29+S29+U29</f>
        <v/>
      </c>
      <c r="X29" s="14">
        <f>IF(V29=0,"—",ROUND(W29/V29,2))</f>
        <v/>
      </c>
      <c r="Y29" s="14">
        <f>IFERROR(INDEX(INDIRECT("'"&amp;B$1&amp;"'!$V$80:$V$107"),MATCH($A29,INDIRECT("'"&amp;B$1&amp;"'!$A$80:$A$107"),0)),0)+IFERROR(INDEX(INDIRECT("'"&amp;D$1&amp;"'!$V$80:$V$107"),MATCH($A29,INDIRECT("'"&amp;D$1&amp;"'!$A$80:$A$107"),0)),0)+IFERROR(INDEX(INDIRECT("'"&amp;F$1&amp;"'!$V$80:$V$107"),MATCH($A29,INDIRECT("'"&amp;F$1&amp;"'!$A$80:$A$107"),0)),0)+IFERROR(INDEX(INDIRECT("'"&amp;H$1&amp;"'!$V$80:$V$107"),MATCH($A29,INDIRECT("'"&amp;H$1&amp;"'!$A$80:$A$107"),0)),0)+IFERROR(INDEX(INDIRECT("'"&amp;J$1&amp;"'!$V$80:$V$107"),MATCH($A29,INDIRECT("'"&amp;J$1&amp;"'!$A$80:$A$107"),0)),0)+IFERROR(INDEX(INDIRECT("'"&amp;L$1&amp;"'!$V$80:$V$107"),MATCH($A29,INDIRECT("'"&amp;L$1&amp;"'!$A$80:$A$107"),0)),0)+IFERROR(INDEX(INDIRECT("'"&amp;N$1&amp;"'!$V$80:$V$107"),MATCH($A29,INDIRECT("'"&amp;N$1&amp;"'!$A$80:$A$107"),0)),0)+IFERROR(INDEX(INDIRECT("'"&amp;P$1&amp;"'!$V$80:$V$107"),MATCH($A29,INDIRECT("'"&amp;P$1&amp;"'!$A$80:$A$107"),0)),0)+IFERROR(INDEX(INDIRECT("'"&amp;R$1&amp;"'!$V$80:$V$107"),MATCH($A29,INDIRECT("'"&amp;R$1&amp;"'!$A$80:$A$107"),0)),0)+IFERROR(INDEX(INDIRECT("'"&amp;T$1&amp;"'!$V$80:$V$107"),MATCH($A29,INDIRECT("'"&amp;T$1&amp;"'!$A$80:$A$107"),0)),0)</f>
        <v/>
      </c>
    </row>
    <row r="30" ht="15.75" customHeight="1" s="38">
      <c r="A30" s="23" t="n"/>
      <c r="B30" s="27">
        <f>IFERROR(INDEX(INDIRECT("'"&amp;B$1&amp;"'!$V$18:$V$45"),MATCH($A30,INDIRECT("'"&amp;B$1&amp;"'!$A$18:$A$45"),0)),0)</f>
        <v/>
      </c>
      <c r="C30" s="27">
        <f>IFERROR(INDEX(INDIRECT("'"&amp;B$1&amp;"'!$V$49:$V$76"),MATCH($A30,INDIRECT("'"&amp;B$1&amp;"'!$A$49:$A$76"),0)),0)</f>
        <v/>
      </c>
      <c r="D30" s="27">
        <f>IFERROR(INDEX(INDIRECT("'"&amp;D$1&amp;"'!$V$18:$V$45"),MATCH($A30,INDIRECT("'"&amp;D$1&amp;"'!$A$18:$A$45"),0)),0)</f>
        <v/>
      </c>
      <c r="E30" s="27">
        <f>IFERROR(INDEX(INDIRECT("'"&amp;D$1&amp;"'!$V$49:$V$76"),MATCH($A30,INDIRECT("'"&amp;D$1&amp;"'!$A$49:$A$76"),0)),0)</f>
        <v/>
      </c>
      <c r="F30" s="27">
        <f>IFERROR(INDEX(INDIRECT("'"&amp;F$1&amp;"'!$V$18:$V$45"),MATCH($A30,INDIRECT("'"&amp;F$1&amp;"'!$A$18:$A$45"),0)),0)</f>
        <v/>
      </c>
      <c r="G30" s="27">
        <f>IFERROR(INDEX(INDIRECT("'"&amp;F$1&amp;"'!$V$49:$V$76"),MATCH($A30,INDIRECT("'"&amp;F$1&amp;"'!$A$49:$A$76"),0)),0)</f>
        <v/>
      </c>
      <c r="H30" s="27">
        <f>IFERROR(INDEX(INDIRECT("'"&amp;H$1&amp;"'!$V$18:$V$45"),MATCH($A30,INDIRECT("'"&amp;H$1&amp;"'!$A$18:$A$45"),0)),0)</f>
        <v/>
      </c>
      <c r="I30" s="27">
        <f>IFERROR(INDEX(INDIRECT("'"&amp;H$1&amp;"'!$V$49:$V$76"),MATCH($A30,INDIRECT("'"&amp;H$1&amp;"'!$A$49:$A$76"),0)),0)</f>
        <v/>
      </c>
      <c r="J30" s="27">
        <f>IFERROR(INDEX(INDIRECT("'"&amp;J$1&amp;"'!$V$18:$V$45"),MATCH($A30,INDIRECT("'"&amp;J$1&amp;"'!$A$18:$A$45"),0)),0)</f>
        <v/>
      </c>
      <c r="K30" s="27">
        <f>IFERROR(INDEX(INDIRECT("'"&amp;J$1&amp;"'!$V$49:$V$76"),MATCH($A30,INDIRECT("'"&amp;J$1&amp;"'!$A$49:$A$76"),0)),0)</f>
        <v/>
      </c>
      <c r="L30" s="27">
        <f>IFERROR(INDEX(INDIRECT("'"&amp;L$1&amp;"'!$V$18:$V$45"),MATCH($A30,INDIRECT("'"&amp;L$1&amp;"'!$A$18:$A$45"),0)),0)</f>
        <v/>
      </c>
      <c r="M30" s="27">
        <f>IFERROR(INDEX(INDIRECT("'"&amp;L$1&amp;"'!$V$49:$V$76"),MATCH($A30,INDIRECT("'"&amp;L$1&amp;"'!$A$49:$A$76"),0)),0)</f>
        <v/>
      </c>
      <c r="N30" s="27">
        <f>IFERROR(INDEX(INDIRECT("'"&amp;N$1&amp;"'!$V$18:$V$45"),MATCH($A30,INDIRECT("'"&amp;N$1&amp;"'!$A$18:$A$45"),0)),0)</f>
        <v/>
      </c>
      <c r="O30" s="27">
        <f>IFERROR(INDEX(INDIRECT("'"&amp;N$1&amp;"'!$V$49:$V$76"),MATCH($A30,INDIRECT("'"&amp;N$1&amp;"'!$A$49:$A$76"),0)),0)</f>
        <v/>
      </c>
      <c r="P30" s="27">
        <f>IFERROR(INDEX(INDIRECT("'"&amp;P$1&amp;"'!$V$18:$V$45"),MATCH($A30,INDIRECT("'"&amp;P$1&amp;"'!$A$18:$A$45"),0)),0)</f>
        <v/>
      </c>
      <c r="Q30" s="27">
        <f>IFERROR(INDEX(INDIRECT("'"&amp;P$1&amp;"'!$V$49:$V$76"),MATCH($A30,INDIRECT("'"&amp;P$1&amp;"'!$A$49:$A$76"),0)),0)</f>
        <v/>
      </c>
      <c r="R30" s="27">
        <f>IFERROR(INDEX(INDIRECT("'"&amp;R$1&amp;"'!$V$18:$V$45"),MATCH($A30,INDIRECT("'"&amp;R$1&amp;"'!$A$18:$A$45"),0)),0)</f>
        <v/>
      </c>
      <c r="S30" s="27">
        <f>IFERROR(INDEX(INDIRECT("'"&amp;R$1&amp;"'!$V$49:$V$76"),MATCH($A30,INDIRECT("'"&amp;R$1&amp;"'!$A$49:$A$76"),0)),0)</f>
        <v/>
      </c>
      <c r="T30" s="27">
        <f>IFERROR(INDEX(INDIRECT("'"&amp;T$1&amp;"'!$V$18:$V$45"),MATCH($A30,INDIRECT("'"&amp;T$1&amp;"'!$A$18:$A$45"),0)),0)</f>
        <v/>
      </c>
      <c r="U30" s="27">
        <f>IFERROR(INDEX(INDIRECT("'"&amp;T$1&amp;"'!$V$49:$V$76"),MATCH($A30,INDIRECT("'"&amp;T$1&amp;"'!$A$49:$A$76"),0)),0)</f>
        <v/>
      </c>
      <c r="V30" s="24">
        <f>B30+D30+F30+H30+J30+L30+N30+P30+R30+T30</f>
        <v/>
      </c>
      <c r="W30" s="24">
        <f>C30+E30+G30+I30+K30+M30+O30+Q30+S30+U30</f>
        <v/>
      </c>
      <c r="X30" s="14">
        <f>IF(V30=0,"—",ROUND(W30/V30,2))</f>
        <v/>
      </c>
      <c r="Y30" s="14">
        <f>IFERROR(INDEX(INDIRECT("'"&amp;B$1&amp;"'!$V$80:$V$107"),MATCH($A30,INDIRECT("'"&amp;B$1&amp;"'!$A$80:$A$107"),0)),0)+IFERROR(INDEX(INDIRECT("'"&amp;D$1&amp;"'!$V$80:$V$107"),MATCH($A30,INDIRECT("'"&amp;D$1&amp;"'!$A$80:$A$107"),0)),0)+IFERROR(INDEX(INDIRECT("'"&amp;F$1&amp;"'!$V$80:$V$107"),MATCH($A30,INDIRECT("'"&amp;F$1&amp;"'!$A$80:$A$107"),0)),0)+IFERROR(INDEX(INDIRECT("'"&amp;H$1&amp;"'!$V$80:$V$107"),MATCH($A30,INDIRECT("'"&amp;H$1&amp;"'!$A$80:$A$107"),0)),0)+IFERROR(INDEX(INDIRECT("'"&amp;J$1&amp;"'!$V$80:$V$107"),MATCH($A30,INDIRECT("'"&amp;J$1&amp;"'!$A$80:$A$107"),0)),0)+IFERROR(INDEX(INDIRECT("'"&amp;L$1&amp;"'!$V$80:$V$107"),MATCH($A30,INDIRECT("'"&amp;L$1&amp;"'!$A$80:$A$107"),0)),0)+IFERROR(INDEX(INDIRECT("'"&amp;N$1&amp;"'!$V$80:$V$107"),MATCH($A30,INDIRECT("'"&amp;N$1&amp;"'!$A$80:$A$107"),0)),0)+IFERROR(INDEX(INDIRECT("'"&amp;P$1&amp;"'!$V$80:$V$107"),MATCH($A30,INDIRECT("'"&amp;P$1&amp;"'!$A$80:$A$107"),0)),0)+IFERROR(INDEX(INDIRECT("'"&amp;R$1&amp;"'!$V$80:$V$107"),MATCH($A30,INDIRECT("'"&amp;R$1&amp;"'!$A$80:$A$107"),0)),0)+IFERROR(INDEX(INDIRECT("'"&amp;T$1&amp;"'!$V$80:$V$107"),MATCH($A30,INDIRECT("'"&amp;T$1&amp;"'!$A$80:$A$107"),0)),0)</f>
        <v/>
      </c>
    </row>
    <row r="31" ht="15.75" customHeight="1" s="38">
      <c r="A31" s="7" t="inlineStr">
        <is>
          <t>Total</t>
        </is>
      </c>
      <c r="B31" s="24">
        <f>SUM(B3:B30)</f>
        <v/>
      </c>
      <c r="C31" s="24">
        <f>SUM(C3:C30)</f>
        <v/>
      </c>
      <c r="D31" s="24">
        <f>SUM(D3:D30)</f>
        <v/>
      </c>
      <c r="E31" s="24">
        <f>SUM(E3:E30)</f>
        <v/>
      </c>
      <c r="F31" s="24">
        <f>SUM(F3:F30)</f>
        <v/>
      </c>
      <c r="G31" s="24">
        <f>SUM(G3:G30)</f>
        <v/>
      </c>
      <c r="H31" s="24">
        <f>SUM(H3:H30)</f>
        <v/>
      </c>
      <c r="I31" s="24">
        <f>SUM(I3:I30)</f>
        <v/>
      </c>
      <c r="J31" s="24">
        <f>SUM(J3:J30)</f>
        <v/>
      </c>
      <c r="K31" s="24">
        <f>SUM(K3:K30)</f>
        <v/>
      </c>
      <c r="L31" s="24">
        <f>SUM(L3:L30)</f>
        <v/>
      </c>
      <c r="M31" s="24">
        <f>SUM(M3:M30)</f>
        <v/>
      </c>
      <c r="N31" s="24">
        <f>SUM(N3:N30)</f>
        <v/>
      </c>
      <c r="O31" s="24">
        <f>SUM(O3:O30)</f>
        <v/>
      </c>
      <c r="P31" s="24">
        <f>SUM(P3:P30)</f>
        <v/>
      </c>
      <c r="Q31" s="24">
        <f>SUM(Q3:Q30)</f>
        <v/>
      </c>
      <c r="R31" s="24">
        <f>SUM(R3:R30)</f>
        <v/>
      </c>
      <c r="S31" s="24">
        <f>SUM(S3:S30)</f>
        <v/>
      </c>
      <c r="T31" s="24">
        <f>SUM(T3:T30)</f>
        <v/>
      </c>
      <c r="U31" s="24">
        <f>SUM(U3:U30)</f>
        <v/>
      </c>
      <c r="V31" s="24">
        <f>SUM(V3:V30)</f>
        <v/>
      </c>
      <c r="W31" s="24">
        <f>SUM(W3:W30)</f>
        <v/>
      </c>
      <c r="Y31" s="24">
        <f>SUM(Y3:Y30)</f>
        <v/>
      </c>
    </row>
    <row r="32" ht="15.75" customHeight="1" s="38"/>
    <row r="33" ht="15.75" customHeight="1" s="38"/>
    <row r="34" ht="15.75" customHeight="1" s="38"/>
    <row r="35" ht="15.75" customHeight="1" s="38"/>
    <row r="36" ht="15.75" customHeight="1" s="38"/>
    <row r="37" ht="15.75" customHeight="1" s="38"/>
    <row r="38" ht="15.75" customHeight="1" s="38"/>
    <row r="39" ht="15.75" customHeight="1" s="38"/>
    <row r="40" ht="15.75" customHeight="1" s="38"/>
    <row r="41" ht="15.75" customHeight="1" s="38"/>
    <row r="42" ht="15.75" customHeight="1" s="38"/>
    <row r="43" ht="15.75" customHeight="1" s="38"/>
    <row r="44" ht="15.75" customHeight="1" s="38"/>
    <row r="45" ht="15.75" customHeight="1" s="38"/>
    <row r="46" ht="15.75" customHeight="1" s="38"/>
    <row r="47" ht="15.75" customHeight="1" s="38"/>
    <row r="48" ht="15.75" customHeight="1" s="38"/>
    <row r="49" ht="15.75" customHeight="1" s="38"/>
    <row r="50" ht="15.75" customHeight="1" s="38"/>
    <row r="51" ht="15.75" customHeight="1" s="38"/>
    <row r="52" ht="15.75" customHeight="1" s="38"/>
    <row r="53" ht="15.75" customHeight="1" s="38"/>
    <row r="54" ht="15.75" customHeight="1" s="38"/>
    <row r="55" ht="15.75" customHeight="1" s="38"/>
    <row r="56" ht="15.75" customHeight="1" s="38"/>
    <row r="57" ht="15.75" customHeight="1" s="38"/>
    <row r="58" ht="15.75" customHeight="1" s="38"/>
    <row r="59" ht="15.75" customHeight="1" s="38"/>
    <row r="60" ht="15.75" customHeight="1" s="38"/>
    <row r="61" ht="15.75" customHeight="1" s="38"/>
    <row r="62" ht="15.75" customHeight="1" s="38"/>
    <row r="63" ht="15.75" customHeight="1" s="38"/>
    <row r="64" ht="15.75" customHeight="1" s="38"/>
    <row r="65" ht="15.75" customHeight="1" s="38"/>
    <row r="66" ht="15.75" customHeight="1" s="38"/>
    <row r="67" ht="15.75" customHeight="1" s="38"/>
    <row r="68" ht="15.75" customHeight="1" s="38"/>
    <row r="69" ht="15.75" customHeight="1" s="38"/>
    <row r="70" ht="15.75" customHeight="1" s="38"/>
    <row r="71" ht="15.75" customHeight="1" s="38"/>
    <row r="72" ht="15.75" customHeight="1" s="38"/>
    <row r="73" ht="15.75" customHeight="1" s="38"/>
    <row r="74" ht="15.75" customHeight="1" s="38"/>
    <row r="75" ht="15.75" customHeight="1" s="38"/>
    <row r="76" ht="15.75" customHeight="1" s="38"/>
    <row r="77" ht="15.75" customHeight="1" s="38"/>
    <row r="78" ht="15.75" customHeight="1" s="38"/>
    <row r="79" ht="15.75" customHeight="1" s="38"/>
    <row r="80" ht="15.75" customHeight="1" s="38"/>
    <row r="81" ht="15.75" customHeight="1" s="38"/>
    <row r="82" ht="15.75" customHeight="1" s="38"/>
    <row r="83" ht="15.75" customHeight="1" s="38"/>
    <row r="84" ht="15.75" customHeight="1" s="38"/>
    <row r="85" ht="15.75" customHeight="1" s="38"/>
    <row r="86" ht="15.75" customHeight="1" s="38"/>
    <row r="87" ht="15.75" customHeight="1" s="38"/>
    <row r="88" ht="15.75" customHeight="1" s="38"/>
    <row r="89" ht="15.75" customHeight="1" s="38"/>
    <row r="90" ht="15.75" customHeight="1" s="38"/>
    <row r="91" ht="15.75" customHeight="1" s="38"/>
    <row r="92" ht="15.75" customHeight="1" s="38"/>
    <row r="93" ht="15.75" customHeight="1" s="38"/>
    <row r="94" ht="15.75" customHeight="1" s="38"/>
    <row r="95" ht="15.75" customHeight="1" s="38"/>
    <row r="96" ht="15.75" customHeight="1" s="38"/>
    <row r="97" ht="15.75" customHeight="1" s="38"/>
    <row r="98" ht="15.75" customHeight="1" s="38"/>
    <row r="99" ht="15.75" customHeight="1" s="38"/>
    <row r="100" ht="15.75" customHeight="1" s="38"/>
    <row r="101" ht="15.75" customHeight="1" s="38"/>
    <row r="102" ht="15.75" customHeight="1" s="38"/>
    <row r="103" ht="15.75" customHeight="1" s="38"/>
    <row r="104" ht="15.75" customHeight="1" s="38"/>
    <row r="105" ht="15.75" customHeight="1" s="38"/>
    <row r="106" ht="15.75" customHeight="1" s="38"/>
    <row r="107" ht="15.75" customHeight="1" s="38"/>
    <row r="108" ht="15.75" customHeight="1" s="38"/>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ColWidth="14.43" defaultRowHeight="15" customHeight="1"/>
  <cols>
    <col width="26" customWidth="1" style="38" min="1" max="1"/>
    <col width="12" customWidth="1" style="38" min="2" max="9"/>
    <col width="8.710000000000001" customWidth="1" style="38" min="10" max="26"/>
  </cols>
  <sheetData>
    <row r="1">
      <c r="A1" s="4" t="inlineStr">
        <is>
          <t>PLAYER TABS — Season 8 onward (everything before S8 is settled)</t>
        </is>
      </c>
      <c r="B1" s="29" t="inlineStr">
        <is>
          <t>S8</t>
        </is>
      </c>
      <c r="C1" s="29" t="inlineStr">
        <is>
          <t>S9</t>
        </is>
      </c>
      <c r="D1" s="29" t="inlineStr">
        <is>
          <t>S10</t>
        </is>
      </c>
      <c r="E1" s="5" t="n"/>
      <c r="F1" s="5" t="n"/>
      <c r="G1" s="5" t="n"/>
      <c r="H1" s="5" t="n"/>
      <c r="I1" s="5" t="n"/>
    </row>
    <row r="2">
      <c r="A2" s="31" t="inlineStr">
        <is>
          <t>Season paid by:</t>
        </is>
      </c>
      <c r="B2" s="32">
        <f>IFERROR(T(INDIRECT("'"&amp;B$1&amp;"'!$Y$12")),"")</f>
        <v/>
      </c>
      <c r="C2" s="32">
        <f>IFERROR(T(INDIRECT("'"&amp;C$1&amp;"'!$Y$12")),"")</f>
        <v/>
      </c>
      <c r="D2" s="32">
        <f>IFERROR(T(INDIRECT("'"&amp;D$1&amp;"'!$Y$12")),"")</f>
        <v/>
      </c>
      <c r="E2" s="32" t="n"/>
      <c r="F2" s="32" t="n"/>
      <c r="G2" s="32" t="n"/>
    </row>
    <row r="3">
      <c r="A3" s="30" t="inlineStr">
        <is>
          <t>Player</t>
        </is>
      </c>
      <c r="B3" s="33" t="inlineStr">
        <is>
          <t>S8 charges</t>
        </is>
      </c>
      <c r="C3" s="33" t="inlineStr">
        <is>
          <t>S9 charges</t>
        </is>
      </c>
      <c r="D3" s="33" t="inlineStr">
        <is>
          <t>S10 charges</t>
        </is>
      </c>
      <c r="E3" s="33" t="inlineStr">
        <is>
          <t>Total charged</t>
        </is>
      </c>
      <c r="F3" s="33" t="inlineStr">
        <is>
          <t>Paid</t>
        </is>
      </c>
      <c r="G3" s="33" t="inlineStr">
        <is>
          <t>Balance (+ owes · − is owed)</t>
        </is>
      </c>
      <c r="H3" s="0" t="inlineStr">
        <is>
          <t>Paid = transfers logged on Payments + pitch costs of played games in any season this player paid for (row 2). A negative balance means the club owes them.</t>
        </is>
      </c>
    </row>
    <row r="4">
      <c r="A4" s="23" t="inlineStr">
        <is>
          <t>Ahmed</t>
        </is>
      </c>
      <c r="B4" s="34">
        <f>IFERROR(INDEX(INDIRECT("'"&amp;B$1&amp;"'!$W$18:$W$45"),MATCH($A4,INDIRECT("'"&amp;B$1&amp;"'!$A$18:$A$45"),0)),0)</f>
        <v/>
      </c>
      <c r="C4" s="34">
        <f>IFERROR(INDEX(INDIRECT("'"&amp;C$1&amp;"'!$W$18:$W$45"),MATCH($A4,INDIRECT("'"&amp;C$1&amp;"'!$A$18:$A$45"),0)),0)</f>
        <v/>
      </c>
      <c r="D4" s="34">
        <f>IFERROR(INDEX(INDIRECT("'"&amp;D$1&amp;"'!$W$18:$W$45"),MATCH($A4,INDIRECT("'"&amp;D$1&amp;"'!$A$18:$A$45"),0)),0)</f>
        <v/>
      </c>
      <c r="E4" s="20">
        <f>SUM(B4:D4)</f>
        <v/>
      </c>
      <c r="F4" s="34">
        <f>SUMIF(Payments!$B:$B,$A4,Payments!$C:$C)+IF($A4=$B$2,IFERROR(SUMPRODUCT((INDIRECT("'"&amp;B$1&amp;"'!$B$14:$U$14")&gt;0)*INDIRECT("'"&amp;B$1&amp;"'!$B$13:$U$13")),0),0)+IF($A4=$C$2,IFERROR(SUMPRODUCT((INDIRECT("'"&amp;C$1&amp;"'!$B$14:$U$14")&gt;0)*INDIRECT("'"&amp;C$1&amp;"'!$B$13:$U$13")),0),0)+IF($A4=$D$2,IFERROR(SUMPRODUCT((INDIRECT("'"&amp;D$1&amp;"'!$B$14:$U$14")&gt;0)*INDIRECT("'"&amp;D$1&amp;"'!$B$13:$U$13")),0),0)</f>
        <v/>
      </c>
      <c r="G4" s="25">
        <f>E4-F4</f>
        <v/>
      </c>
    </row>
    <row r="5">
      <c r="A5" s="23" t="inlineStr">
        <is>
          <t>Alex Ruben</t>
        </is>
      </c>
      <c r="B5" s="34">
        <f>IFERROR(INDEX(INDIRECT("'"&amp;B$1&amp;"'!$W$18:$W$45"),MATCH($A5,INDIRECT("'"&amp;B$1&amp;"'!$A$18:$A$45"),0)),0)</f>
        <v/>
      </c>
      <c r="C5" s="34">
        <f>IFERROR(INDEX(INDIRECT("'"&amp;C$1&amp;"'!$W$18:$W$45"),MATCH($A5,INDIRECT("'"&amp;C$1&amp;"'!$A$18:$A$45"),0)),0)</f>
        <v/>
      </c>
      <c r="D5" s="34">
        <f>IFERROR(INDEX(INDIRECT("'"&amp;D$1&amp;"'!$W$18:$W$45"),MATCH($A5,INDIRECT("'"&amp;D$1&amp;"'!$A$18:$A$45"),0)),0)</f>
        <v/>
      </c>
      <c r="E5" s="20">
        <f>SUM(B5:D5)</f>
        <v/>
      </c>
      <c r="F5" s="34">
        <f>SUMIF(Payments!$B:$B,$A5,Payments!$C:$C)+IF($A5=$B$2,IFERROR(SUMPRODUCT((INDIRECT("'"&amp;B$1&amp;"'!$B$14:$U$14")&gt;0)*INDIRECT("'"&amp;B$1&amp;"'!$B$13:$U$13")),0),0)+IF($A5=$C$2,IFERROR(SUMPRODUCT((INDIRECT("'"&amp;C$1&amp;"'!$B$14:$U$14")&gt;0)*INDIRECT("'"&amp;C$1&amp;"'!$B$13:$U$13")),0),0)+IF($A5=$D$2,IFERROR(SUMPRODUCT((INDIRECT("'"&amp;D$1&amp;"'!$B$14:$U$14")&gt;0)*INDIRECT("'"&amp;D$1&amp;"'!$B$13:$U$13")),0),0)</f>
        <v/>
      </c>
      <c r="G5" s="25">
        <f>E5-F5</f>
        <v/>
      </c>
    </row>
    <row r="6">
      <c r="A6" s="23" t="inlineStr">
        <is>
          <t>Andy Cowan</t>
        </is>
      </c>
      <c r="B6" s="34">
        <f>IFERROR(INDEX(INDIRECT("'"&amp;B$1&amp;"'!$W$18:$W$45"),MATCH($A6,INDIRECT("'"&amp;B$1&amp;"'!$A$18:$A$45"),0)),0)</f>
        <v/>
      </c>
      <c r="C6" s="34">
        <f>IFERROR(INDEX(INDIRECT("'"&amp;C$1&amp;"'!$W$18:$W$45"),MATCH($A6,INDIRECT("'"&amp;C$1&amp;"'!$A$18:$A$45"),0)),0)</f>
        <v/>
      </c>
      <c r="D6" s="34">
        <f>IFERROR(INDEX(INDIRECT("'"&amp;D$1&amp;"'!$W$18:$W$45"),MATCH($A6,INDIRECT("'"&amp;D$1&amp;"'!$A$18:$A$45"),0)),0)</f>
        <v/>
      </c>
      <c r="E6" s="20">
        <f>SUM(B6:D6)</f>
        <v/>
      </c>
      <c r="F6" s="34">
        <f>SUMIF(Payments!$B:$B,$A6,Payments!$C:$C)+IF($A6=$B$2,IFERROR(SUMPRODUCT((INDIRECT("'"&amp;B$1&amp;"'!$B$14:$U$14")&gt;0)*INDIRECT("'"&amp;B$1&amp;"'!$B$13:$U$13")),0),0)+IF($A6=$C$2,IFERROR(SUMPRODUCT((INDIRECT("'"&amp;C$1&amp;"'!$B$14:$U$14")&gt;0)*INDIRECT("'"&amp;C$1&amp;"'!$B$13:$U$13")),0),0)+IF($A6=$D$2,IFERROR(SUMPRODUCT((INDIRECT("'"&amp;D$1&amp;"'!$B$14:$U$14")&gt;0)*INDIRECT("'"&amp;D$1&amp;"'!$B$13:$U$13")),0),0)</f>
        <v/>
      </c>
      <c r="G6" s="25">
        <f>E6-F6</f>
        <v/>
      </c>
    </row>
    <row r="7">
      <c r="A7" s="23" t="inlineStr">
        <is>
          <t>Ben Merrett</t>
        </is>
      </c>
      <c r="B7" s="34">
        <f>IFERROR(INDEX(INDIRECT("'"&amp;B$1&amp;"'!$W$18:$W$45"),MATCH($A7,INDIRECT("'"&amp;B$1&amp;"'!$A$18:$A$45"),0)),0)</f>
        <v/>
      </c>
      <c r="C7" s="34">
        <f>IFERROR(INDEX(INDIRECT("'"&amp;C$1&amp;"'!$W$18:$W$45"),MATCH($A7,INDIRECT("'"&amp;C$1&amp;"'!$A$18:$A$45"),0)),0)</f>
        <v/>
      </c>
      <c r="D7" s="34">
        <f>IFERROR(INDEX(INDIRECT("'"&amp;D$1&amp;"'!$W$18:$W$45"),MATCH($A7,INDIRECT("'"&amp;D$1&amp;"'!$A$18:$A$45"),0)),0)</f>
        <v/>
      </c>
      <c r="E7" s="20">
        <f>SUM(B7:D7)</f>
        <v/>
      </c>
      <c r="F7" s="34">
        <f>SUMIF(Payments!$B:$B,$A7,Payments!$C:$C)+IF($A7=$B$2,IFERROR(SUMPRODUCT((INDIRECT("'"&amp;B$1&amp;"'!$B$14:$U$14")&gt;0)*INDIRECT("'"&amp;B$1&amp;"'!$B$13:$U$13")),0),0)+IF($A7=$C$2,IFERROR(SUMPRODUCT((INDIRECT("'"&amp;C$1&amp;"'!$B$14:$U$14")&gt;0)*INDIRECT("'"&amp;C$1&amp;"'!$B$13:$U$13")),0),0)+IF($A7=$D$2,IFERROR(SUMPRODUCT((INDIRECT("'"&amp;D$1&amp;"'!$B$14:$U$14")&gt;0)*INDIRECT("'"&amp;D$1&amp;"'!$B$13:$U$13")),0),0)</f>
        <v/>
      </c>
      <c r="G7" s="25">
        <f>E7-F7</f>
        <v/>
      </c>
    </row>
    <row r="8">
      <c r="A8" s="23" t="inlineStr">
        <is>
          <t>Callum McCarthy</t>
        </is>
      </c>
      <c r="B8" s="34">
        <f>IFERROR(INDEX(INDIRECT("'"&amp;B$1&amp;"'!$W$18:$W$45"),MATCH($A8,INDIRECT("'"&amp;B$1&amp;"'!$A$18:$A$45"),0)),0)</f>
        <v/>
      </c>
      <c r="C8" s="34">
        <f>IFERROR(INDEX(INDIRECT("'"&amp;C$1&amp;"'!$W$18:$W$45"),MATCH($A8,INDIRECT("'"&amp;C$1&amp;"'!$A$18:$A$45"),0)),0)</f>
        <v/>
      </c>
      <c r="D8" s="34">
        <f>IFERROR(INDEX(INDIRECT("'"&amp;D$1&amp;"'!$W$18:$W$45"),MATCH($A8,INDIRECT("'"&amp;D$1&amp;"'!$A$18:$A$45"),0)),0)</f>
        <v/>
      </c>
      <c r="E8" s="20">
        <f>SUM(B8:D8)</f>
        <v/>
      </c>
      <c r="F8" s="34">
        <f>SUMIF(Payments!$B:$B,$A8,Payments!$C:$C)+IF($A8=$B$2,IFERROR(SUMPRODUCT((INDIRECT("'"&amp;B$1&amp;"'!$B$14:$U$14")&gt;0)*INDIRECT("'"&amp;B$1&amp;"'!$B$13:$U$13")),0),0)+IF($A8=$C$2,IFERROR(SUMPRODUCT((INDIRECT("'"&amp;C$1&amp;"'!$B$14:$U$14")&gt;0)*INDIRECT("'"&amp;C$1&amp;"'!$B$13:$U$13")),0),0)+IF($A8=$D$2,IFERROR(SUMPRODUCT((INDIRECT("'"&amp;D$1&amp;"'!$B$14:$U$14")&gt;0)*INDIRECT("'"&amp;D$1&amp;"'!$B$13:$U$13")),0),0)</f>
        <v/>
      </c>
      <c r="G8" s="25">
        <f>E8-F8</f>
        <v/>
      </c>
    </row>
    <row r="9">
      <c r="A9" s="23" t="inlineStr">
        <is>
          <t>Cecil Watson</t>
        </is>
      </c>
      <c r="B9" s="34">
        <f>IFERROR(INDEX(INDIRECT("'"&amp;B$1&amp;"'!$W$18:$W$45"),MATCH($A9,INDIRECT("'"&amp;B$1&amp;"'!$A$18:$A$45"),0)),0)</f>
        <v/>
      </c>
      <c r="C9" s="34">
        <f>IFERROR(INDEX(INDIRECT("'"&amp;C$1&amp;"'!$W$18:$W$45"),MATCH($A9,INDIRECT("'"&amp;C$1&amp;"'!$A$18:$A$45"),0)),0)</f>
        <v/>
      </c>
      <c r="D9" s="34">
        <f>IFERROR(INDEX(INDIRECT("'"&amp;D$1&amp;"'!$W$18:$W$45"),MATCH($A9,INDIRECT("'"&amp;D$1&amp;"'!$A$18:$A$45"),0)),0)</f>
        <v/>
      </c>
      <c r="E9" s="20">
        <f>SUM(B9:D9)</f>
        <v/>
      </c>
      <c r="F9" s="34">
        <f>SUMIF(Payments!$B:$B,$A9,Payments!$C:$C)+IF($A9=$B$2,IFERROR(SUMPRODUCT((INDIRECT("'"&amp;B$1&amp;"'!$B$14:$U$14")&gt;0)*INDIRECT("'"&amp;B$1&amp;"'!$B$13:$U$13")),0),0)+IF($A9=$C$2,IFERROR(SUMPRODUCT((INDIRECT("'"&amp;C$1&amp;"'!$B$14:$U$14")&gt;0)*INDIRECT("'"&amp;C$1&amp;"'!$B$13:$U$13")),0),0)+IF($A9=$D$2,IFERROR(SUMPRODUCT((INDIRECT("'"&amp;D$1&amp;"'!$B$14:$U$14")&gt;0)*INDIRECT("'"&amp;D$1&amp;"'!$B$13:$U$13")),0),0)</f>
        <v/>
      </c>
      <c r="G9" s="25">
        <f>E9-F9</f>
        <v/>
      </c>
    </row>
    <row r="10">
      <c r="A10" s="23" t="inlineStr">
        <is>
          <t>Conall Templeman</t>
        </is>
      </c>
      <c r="B10" s="34">
        <f>IFERROR(INDEX(INDIRECT("'"&amp;B$1&amp;"'!$W$18:$W$45"),MATCH($A10,INDIRECT("'"&amp;B$1&amp;"'!$A$18:$A$45"),0)),0)</f>
        <v/>
      </c>
      <c r="C10" s="34">
        <f>IFERROR(INDEX(INDIRECT("'"&amp;C$1&amp;"'!$W$18:$W$45"),MATCH($A10,INDIRECT("'"&amp;C$1&amp;"'!$A$18:$A$45"),0)),0)</f>
        <v/>
      </c>
      <c r="D10" s="34">
        <f>IFERROR(INDEX(INDIRECT("'"&amp;D$1&amp;"'!$W$18:$W$45"),MATCH($A10,INDIRECT("'"&amp;D$1&amp;"'!$A$18:$A$45"),0)),0)</f>
        <v/>
      </c>
      <c r="E10" s="20">
        <f>SUM(B10:D10)</f>
        <v/>
      </c>
      <c r="F10" s="34">
        <f>SUMIF(Payments!$B:$B,$A10,Payments!$C:$C)+IF($A10=$B$2,IFERROR(SUMPRODUCT((INDIRECT("'"&amp;B$1&amp;"'!$B$14:$U$14")&gt;0)*INDIRECT("'"&amp;B$1&amp;"'!$B$13:$U$13")),0),0)+IF($A10=$C$2,IFERROR(SUMPRODUCT((INDIRECT("'"&amp;C$1&amp;"'!$B$14:$U$14")&gt;0)*INDIRECT("'"&amp;C$1&amp;"'!$B$13:$U$13")),0),0)+IF($A10=$D$2,IFERROR(SUMPRODUCT((INDIRECT("'"&amp;D$1&amp;"'!$B$14:$U$14")&gt;0)*INDIRECT("'"&amp;D$1&amp;"'!$B$13:$U$13")),0),0)</f>
        <v/>
      </c>
      <c r="G10" s="25">
        <f>E10-F10</f>
        <v/>
      </c>
    </row>
    <row r="11">
      <c r="A11" s="23" t="inlineStr">
        <is>
          <t>Eddie McLaughlin</t>
        </is>
      </c>
      <c r="B11" s="34">
        <f>IFERROR(INDEX(INDIRECT("'"&amp;B$1&amp;"'!$W$18:$W$45"),MATCH($A11,INDIRECT("'"&amp;B$1&amp;"'!$A$18:$A$45"),0)),0)</f>
        <v/>
      </c>
      <c r="C11" s="34">
        <f>IFERROR(INDEX(INDIRECT("'"&amp;C$1&amp;"'!$W$18:$W$45"),MATCH($A11,INDIRECT("'"&amp;C$1&amp;"'!$A$18:$A$45"),0)),0)</f>
        <v/>
      </c>
      <c r="D11" s="34">
        <f>IFERROR(INDEX(INDIRECT("'"&amp;D$1&amp;"'!$W$18:$W$45"),MATCH($A11,INDIRECT("'"&amp;D$1&amp;"'!$A$18:$A$45"),0)),0)</f>
        <v/>
      </c>
      <c r="E11" s="20">
        <f>SUM(B11:D11)</f>
        <v/>
      </c>
      <c r="F11" s="34">
        <f>SUMIF(Payments!$B:$B,$A11,Payments!$C:$C)+IF($A11=$B$2,IFERROR(SUMPRODUCT((INDIRECT("'"&amp;B$1&amp;"'!$B$14:$U$14")&gt;0)*INDIRECT("'"&amp;B$1&amp;"'!$B$13:$U$13")),0),0)+IF($A11=$C$2,IFERROR(SUMPRODUCT((INDIRECT("'"&amp;C$1&amp;"'!$B$14:$U$14")&gt;0)*INDIRECT("'"&amp;C$1&amp;"'!$B$13:$U$13")),0),0)+IF($A11=$D$2,IFERROR(SUMPRODUCT((INDIRECT("'"&amp;D$1&amp;"'!$B$14:$U$14")&gt;0)*INDIRECT("'"&amp;D$1&amp;"'!$B$13:$U$13")),0),0)</f>
        <v/>
      </c>
      <c r="G11" s="25">
        <f>E11-F11</f>
        <v/>
      </c>
    </row>
    <row r="12">
      <c r="A12" s="23" t="inlineStr">
        <is>
          <t>Finn Cawley</t>
        </is>
      </c>
      <c r="B12" s="34">
        <f>IFERROR(INDEX(INDIRECT("'"&amp;B$1&amp;"'!$W$18:$W$45"),MATCH($A12,INDIRECT("'"&amp;B$1&amp;"'!$A$18:$A$45"),0)),0)</f>
        <v/>
      </c>
      <c r="C12" s="34">
        <f>IFERROR(INDEX(INDIRECT("'"&amp;C$1&amp;"'!$W$18:$W$45"),MATCH($A12,INDIRECT("'"&amp;C$1&amp;"'!$A$18:$A$45"),0)),0)</f>
        <v/>
      </c>
      <c r="D12" s="34">
        <f>IFERROR(INDEX(INDIRECT("'"&amp;D$1&amp;"'!$W$18:$W$45"),MATCH($A12,INDIRECT("'"&amp;D$1&amp;"'!$A$18:$A$45"),0)),0)</f>
        <v/>
      </c>
      <c r="E12" s="20">
        <f>SUM(B12:D12)</f>
        <v/>
      </c>
      <c r="F12" s="34">
        <f>SUMIF(Payments!$B:$B,$A12,Payments!$C:$C)+IF($A12=$B$2,IFERROR(SUMPRODUCT((INDIRECT("'"&amp;B$1&amp;"'!$B$14:$U$14")&gt;0)*INDIRECT("'"&amp;B$1&amp;"'!$B$13:$U$13")),0),0)+IF($A12=$C$2,IFERROR(SUMPRODUCT((INDIRECT("'"&amp;C$1&amp;"'!$B$14:$U$14")&gt;0)*INDIRECT("'"&amp;C$1&amp;"'!$B$13:$U$13")),0),0)+IF($A12=$D$2,IFERROR(SUMPRODUCT((INDIRECT("'"&amp;D$1&amp;"'!$B$14:$U$14")&gt;0)*INDIRECT("'"&amp;D$1&amp;"'!$B$13:$U$13")),0),0)</f>
        <v/>
      </c>
      <c r="G12" s="25">
        <f>E12-F12</f>
        <v/>
      </c>
    </row>
    <row r="13">
      <c r="A13" s="23" t="inlineStr">
        <is>
          <t>George Barbantan</t>
        </is>
      </c>
      <c r="B13" s="34">
        <f>IFERROR(INDEX(INDIRECT("'"&amp;B$1&amp;"'!$W$18:$W$45"),MATCH($A13,INDIRECT("'"&amp;B$1&amp;"'!$A$18:$A$45"),0)),0)</f>
        <v/>
      </c>
      <c r="C13" s="34">
        <f>IFERROR(INDEX(INDIRECT("'"&amp;C$1&amp;"'!$W$18:$W$45"),MATCH($A13,INDIRECT("'"&amp;C$1&amp;"'!$A$18:$A$45"),0)),0)</f>
        <v/>
      </c>
      <c r="D13" s="34">
        <f>IFERROR(INDEX(INDIRECT("'"&amp;D$1&amp;"'!$W$18:$W$45"),MATCH($A13,INDIRECT("'"&amp;D$1&amp;"'!$A$18:$A$45"),0)),0)</f>
        <v/>
      </c>
      <c r="E13" s="20">
        <f>SUM(B13:D13)</f>
        <v/>
      </c>
      <c r="F13" s="34">
        <f>SUMIF(Payments!$B:$B,$A13,Payments!$C:$C)+IF($A13=$B$2,IFERROR(SUMPRODUCT((INDIRECT("'"&amp;B$1&amp;"'!$B$14:$U$14")&gt;0)*INDIRECT("'"&amp;B$1&amp;"'!$B$13:$U$13")),0),0)+IF($A13=$C$2,IFERROR(SUMPRODUCT((INDIRECT("'"&amp;C$1&amp;"'!$B$14:$U$14")&gt;0)*INDIRECT("'"&amp;C$1&amp;"'!$B$13:$U$13")),0),0)+IF($A13=$D$2,IFERROR(SUMPRODUCT((INDIRECT("'"&amp;D$1&amp;"'!$B$14:$U$14")&gt;0)*INDIRECT("'"&amp;D$1&amp;"'!$B$13:$U$13")),0),0)</f>
        <v/>
      </c>
      <c r="G13" s="25">
        <f>E13-F13</f>
        <v/>
      </c>
    </row>
    <row r="14">
      <c r="A14" s="23" t="inlineStr">
        <is>
          <t>Henry Linklater</t>
        </is>
      </c>
      <c r="B14" s="34">
        <f>IFERROR(INDEX(INDIRECT("'"&amp;B$1&amp;"'!$W$18:$W$45"),MATCH($A14,INDIRECT("'"&amp;B$1&amp;"'!$A$18:$A$45"),0)),0)</f>
        <v/>
      </c>
      <c r="C14" s="34">
        <f>IFERROR(INDEX(INDIRECT("'"&amp;C$1&amp;"'!$W$18:$W$45"),MATCH($A14,INDIRECT("'"&amp;C$1&amp;"'!$A$18:$A$45"),0)),0)</f>
        <v/>
      </c>
      <c r="D14" s="34">
        <f>IFERROR(INDEX(INDIRECT("'"&amp;D$1&amp;"'!$W$18:$W$45"),MATCH($A14,INDIRECT("'"&amp;D$1&amp;"'!$A$18:$A$45"),0)),0)</f>
        <v/>
      </c>
      <c r="E14" s="20">
        <f>SUM(B14:D14)</f>
        <v/>
      </c>
      <c r="F14" s="34">
        <f>SUMIF(Payments!$B:$B,$A14,Payments!$C:$C)+IF($A14=$B$2,IFERROR(SUMPRODUCT((INDIRECT("'"&amp;B$1&amp;"'!$B$14:$U$14")&gt;0)*INDIRECT("'"&amp;B$1&amp;"'!$B$13:$U$13")),0),0)+IF($A14=$C$2,IFERROR(SUMPRODUCT((INDIRECT("'"&amp;C$1&amp;"'!$B$14:$U$14")&gt;0)*INDIRECT("'"&amp;C$1&amp;"'!$B$13:$U$13")),0),0)+IF($A14=$D$2,IFERROR(SUMPRODUCT((INDIRECT("'"&amp;D$1&amp;"'!$B$14:$U$14")&gt;0)*INDIRECT("'"&amp;D$1&amp;"'!$B$13:$U$13")),0),0)</f>
        <v/>
      </c>
      <c r="G14" s="25">
        <f>E14-F14</f>
        <v/>
      </c>
    </row>
    <row r="15">
      <c r="A15" s="23" t="inlineStr">
        <is>
          <t>Isaac Mond</t>
        </is>
      </c>
      <c r="B15" s="34">
        <f>IFERROR(INDEX(INDIRECT("'"&amp;B$1&amp;"'!$W$18:$W$45"),MATCH($A15,INDIRECT("'"&amp;B$1&amp;"'!$A$18:$A$45"),0)),0)</f>
        <v/>
      </c>
      <c r="C15" s="34">
        <f>IFERROR(INDEX(INDIRECT("'"&amp;C$1&amp;"'!$W$18:$W$45"),MATCH($A15,INDIRECT("'"&amp;C$1&amp;"'!$A$18:$A$45"),0)),0)</f>
        <v/>
      </c>
      <c r="D15" s="34">
        <f>IFERROR(INDEX(INDIRECT("'"&amp;D$1&amp;"'!$W$18:$W$45"),MATCH($A15,INDIRECT("'"&amp;D$1&amp;"'!$A$18:$A$45"),0)),0)</f>
        <v/>
      </c>
      <c r="E15" s="20">
        <f>SUM(B15:D15)</f>
        <v/>
      </c>
      <c r="F15" s="34">
        <f>SUMIF(Payments!$B:$B,$A15,Payments!$C:$C)+IF($A15=$B$2,IFERROR(SUMPRODUCT((INDIRECT("'"&amp;B$1&amp;"'!$B$14:$U$14")&gt;0)*INDIRECT("'"&amp;B$1&amp;"'!$B$13:$U$13")),0),0)+IF($A15=$C$2,IFERROR(SUMPRODUCT((INDIRECT("'"&amp;C$1&amp;"'!$B$14:$U$14")&gt;0)*INDIRECT("'"&amp;C$1&amp;"'!$B$13:$U$13")),0),0)+IF($A15=$D$2,IFERROR(SUMPRODUCT((INDIRECT("'"&amp;D$1&amp;"'!$B$14:$U$14")&gt;0)*INDIRECT("'"&amp;D$1&amp;"'!$B$13:$U$13")),0),0)</f>
        <v/>
      </c>
      <c r="G15" s="25">
        <f>E15-F15</f>
        <v/>
      </c>
    </row>
    <row r="16">
      <c r="A16" s="23" t="inlineStr">
        <is>
          <t>Jake Harrison</t>
        </is>
      </c>
      <c r="B16" s="34">
        <f>IFERROR(INDEX(INDIRECT("'"&amp;B$1&amp;"'!$W$18:$W$45"),MATCH($A16,INDIRECT("'"&amp;B$1&amp;"'!$A$18:$A$45"),0)),0)</f>
        <v/>
      </c>
      <c r="C16" s="34">
        <f>IFERROR(INDEX(INDIRECT("'"&amp;C$1&amp;"'!$W$18:$W$45"),MATCH($A16,INDIRECT("'"&amp;C$1&amp;"'!$A$18:$A$45"),0)),0)</f>
        <v/>
      </c>
      <c r="D16" s="34">
        <f>IFERROR(INDEX(INDIRECT("'"&amp;D$1&amp;"'!$W$18:$W$45"),MATCH($A16,INDIRECT("'"&amp;D$1&amp;"'!$A$18:$A$45"),0)),0)</f>
        <v/>
      </c>
      <c r="E16" s="20">
        <f>SUM(B16:D16)</f>
        <v/>
      </c>
      <c r="F16" s="34">
        <f>SUMIF(Payments!$B:$B,$A16,Payments!$C:$C)+IF($A16=$B$2,IFERROR(SUMPRODUCT((INDIRECT("'"&amp;B$1&amp;"'!$B$14:$U$14")&gt;0)*INDIRECT("'"&amp;B$1&amp;"'!$B$13:$U$13")),0),0)+IF($A16=$C$2,IFERROR(SUMPRODUCT((INDIRECT("'"&amp;C$1&amp;"'!$B$14:$U$14")&gt;0)*INDIRECT("'"&amp;C$1&amp;"'!$B$13:$U$13")),0),0)+IF($A16=$D$2,IFERROR(SUMPRODUCT((INDIRECT("'"&amp;D$1&amp;"'!$B$14:$U$14")&gt;0)*INDIRECT("'"&amp;D$1&amp;"'!$B$13:$U$13")),0),0)</f>
        <v/>
      </c>
      <c r="G16" s="25">
        <f>E16-F16</f>
        <v/>
      </c>
    </row>
    <row r="17">
      <c r="A17" s="23" t="inlineStr">
        <is>
          <t>Jake Ringer</t>
        </is>
      </c>
      <c r="B17" s="34">
        <f>IFERROR(INDEX(INDIRECT("'"&amp;B$1&amp;"'!$W$18:$W$45"),MATCH($A17,INDIRECT("'"&amp;B$1&amp;"'!$A$18:$A$45"),0)),0)</f>
        <v/>
      </c>
      <c r="C17" s="34">
        <f>IFERROR(INDEX(INDIRECT("'"&amp;C$1&amp;"'!$W$18:$W$45"),MATCH($A17,INDIRECT("'"&amp;C$1&amp;"'!$A$18:$A$45"),0)),0)</f>
        <v/>
      </c>
      <c r="D17" s="34">
        <f>IFERROR(INDEX(INDIRECT("'"&amp;D$1&amp;"'!$W$18:$W$45"),MATCH($A17,INDIRECT("'"&amp;D$1&amp;"'!$A$18:$A$45"),0)),0)</f>
        <v/>
      </c>
      <c r="E17" s="20">
        <f>SUM(B17:D17)</f>
        <v/>
      </c>
      <c r="F17" s="34">
        <f>SUMIF(Payments!$B:$B,$A17,Payments!$C:$C)+IF($A17=$B$2,IFERROR(SUMPRODUCT((INDIRECT("'"&amp;B$1&amp;"'!$B$14:$U$14")&gt;0)*INDIRECT("'"&amp;B$1&amp;"'!$B$13:$U$13")),0),0)+IF($A17=$C$2,IFERROR(SUMPRODUCT((INDIRECT("'"&amp;C$1&amp;"'!$B$14:$U$14")&gt;0)*INDIRECT("'"&amp;C$1&amp;"'!$B$13:$U$13")),0),0)+IF($A17=$D$2,IFERROR(SUMPRODUCT((INDIRECT("'"&amp;D$1&amp;"'!$B$14:$U$14")&gt;0)*INDIRECT("'"&amp;D$1&amp;"'!$B$13:$U$13")),0),0)</f>
        <v/>
      </c>
      <c r="G17" s="25">
        <f>E17-F17</f>
        <v/>
      </c>
    </row>
    <row r="18">
      <c r="A18" s="23" t="inlineStr">
        <is>
          <t>Keshav Singh</t>
        </is>
      </c>
      <c r="B18" s="34">
        <f>IFERROR(INDEX(INDIRECT("'"&amp;B$1&amp;"'!$W$18:$W$45"),MATCH($A18,INDIRECT("'"&amp;B$1&amp;"'!$A$18:$A$45"),0)),0)</f>
        <v/>
      </c>
      <c r="C18" s="34">
        <f>IFERROR(INDEX(INDIRECT("'"&amp;C$1&amp;"'!$W$18:$W$45"),MATCH($A18,INDIRECT("'"&amp;C$1&amp;"'!$A$18:$A$45"),0)),0)</f>
        <v/>
      </c>
      <c r="D18" s="34">
        <f>IFERROR(INDEX(INDIRECT("'"&amp;D$1&amp;"'!$W$18:$W$45"),MATCH($A18,INDIRECT("'"&amp;D$1&amp;"'!$A$18:$A$45"),0)),0)</f>
        <v/>
      </c>
      <c r="E18" s="20">
        <f>SUM(B18:D18)</f>
        <v/>
      </c>
      <c r="F18" s="34">
        <f>SUMIF(Payments!$B:$B,$A18,Payments!$C:$C)+IF($A18=$B$2,IFERROR(SUMPRODUCT((INDIRECT("'"&amp;B$1&amp;"'!$B$14:$U$14")&gt;0)*INDIRECT("'"&amp;B$1&amp;"'!$B$13:$U$13")),0),0)+IF($A18=$C$2,IFERROR(SUMPRODUCT((INDIRECT("'"&amp;C$1&amp;"'!$B$14:$U$14")&gt;0)*INDIRECT("'"&amp;C$1&amp;"'!$B$13:$U$13")),0),0)+IF($A18=$D$2,IFERROR(SUMPRODUCT((INDIRECT("'"&amp;D$1&amp;"'!$B$14:$U$14")&gt;0)*INDIRECT("'"&amp;D$1&amp;"'!$B$13:$U$13")),0),0)</f>
        <v/>
      </c>
      <c r="G18" s="25">
        <f>E18-F18</f>
        <v/>
      </c>
    </row>
    <row r="19">
      <c r="A19" s="23" t="inlineStr">
        <is>
          <t>Mark Pellowe</t>
        </is>
      </c>
      <c r="B19" s="34">
        <f>IFERROR(INDEX(INDIRECT("'"&amp;B$1&amp;"'!$W$18:$W$45"),MATCH($A19,INDIRECT("'"&amp;B$1&amp;"'!$A$18:$A$45"),0)),0)</f>
        <v/>
      </c>
      <c r="C19" s="34">
        <f>IFERROR(INDEX(INDIRECT("'"&amp;C$1&amp;"'!$W$18:$W$45"),MATCH($A19,INDIRECT("'"&amp;C$1&amp;"'!$A$18:$A$45"),0)),0)</f>
        <v/>
      </c>
      <c r="D19" s="34">
        <f>IFERROR(INDEX(INDIRECT("'"&amp;D$1&amp;"'!$W$18:$W$45"),MATCH($A19,INDIRECT("'"&amp;D$1&amp;"'!$A$18:$A$45"),0)),0)</f>
        <v/>
      </c>
      <c r="E19" s="20">
        <f>SUM(B19:D19)</f>
        <v/>
      </c>
      <c r="F19" s="34">
        <f>SUMIF(Payments!$B:$B,$A19,Payments!$C:$C)+IF($A19=$B$2,IFERROR(SUMPRODUCT((INDIRECT("'"&amp;B$1&amp;"'!$B$14:$U$14")&gt;0)*INDIRECT("'"&amp;B$1&amp;"'!$B$13:$U$13")),0),0)+IF($A19=$C$2,IFERROR(SUMPRODUCT((INDIRECT("'"&amp;C$1&amp;"'!$B$14:$U$14")&gt;0)*INDIRECT("'"&amp;C$1&amp;"'!$B$13:$U$13")),0),0)+IF($A19=$D$2,IFERROR(SUMPRODUCT((INDIRECT("'"&amp;D$1&amp;"'!$B$14:$U$14")&gt;0)*INDIRECT("'"&amp;D$1&amp;"'!$B$13:$U$13")),0),0)</f>
        <v/>
      </c>
      <c r="G19" s="25">
        <f>E19-F19</f>
        <v/>
      </c>
    </row>
    <row r="20">
      <c r="A20" s="23" t="inlineStr">
        <is>
          <t>Max Cobain</t>
        </is>
      </c>
      <c r="B20" s="34">
        <f>IFERROR(INDEX(INDIRECT("'"&amp;B$1&amp;"'!$W$18:$W$45"),MATCH($A20,INDIRECT("'"&amp;B$1&amp;"'!$A$18:$A$45"),0)),0)</f>
        <v/>
      </c>
      <c r="C20" s="34">
        <f>IFERROR(INDEX(INDIRECT("'"&amp;C$1&amp;"'!$W$18:$W$45"),MATCH($A20,INDIRECT("'"&amp;C$1&amp;"'!$A$18:$A$45"),0)),0)</f>
        <v/>
      </c>
      <c r="D20" s="34">
        <f>IFERROR(INDEX(INDIRECT("'"&amp;D$1&amp;"'!$W$18:$W$45"),MATCH($A20,INDIRECT("'"&amp;D$1&amp;"'!$A$18:$A$45"),0)),0)</f>
        <v/>
      </c>
      <c r="E20" s="20">
        <f>SUM(B20:D20)</f>
        <v/>
      </c>
      <c r="F20" s="34">
        <f>SUMIF(Payments!$B:$B,$A20,Payments!$C:$C)+IF($A20=$B$2,IFERROR(SUMPRODUCT((INDIRECT("'"&amp;B$1&amp;"'!$B$14:$U$14")&gt;0)*INDIRECT("'"&amp;B$1&amp;"'!$B$13:$U$13")),0),0)+IF($A20=$C$2,IFERROR(SUMPRODUCT((INDIRECT("'"&amp;C$1&amp;"'!$B$14:$U$14")&gt;0)*INDIRECT("'"&amp;C$1&amp;"'!$B$13:$U$13")),0),0)+IF($A20=$D$2,IFERROR(SUMPRODUCT((INDIRECT("'"&amp;D$1&amp;"'!$B$14:$U$14")&gt;0)*INDIRECT("'"&amp;D$1&amp;"'!$B$13:$U$13")),0),0)</f>
        <v/>
      </c>
      <c r="G20" s="25">
        <f>E20-F20</f>
        <v/>
      </c>
    </row>
    <row r="21" ht="15.75" customHeight="1" s="38">
      <c r="A21" s="23" t="inlineStr">
        <is>
          <t>Neeraj Radia</t>
        </is>
      </c>
      <c r="B21" s="34">
        <f>IFERROR(INDEX(INDIRECT("'"&amp;B$1&amp;"'!$W$18:$W$45"),MATCH($A21,INDIRECT("'"&amp;B$1&amp;"'!$A$18:$A$45"),0)),0)</f>
        <v/>
      </c>
      <c r="C21" s="34">
        <f>IFERROR(INDEX(INDIRECT("'"&amp;C$1&amp;"'!$W$18:$W$45"),MATCH($A21,INDIRECT("'"&amp;C$1&amp;"'!$A$18:$A$45"),0)),0)</f>
        <v/>
      </c>
      <c r="D21" s="34">
        <f>IFERROR(INDEX(INDIRECT("'"&amp;D$1&amp;"'!$W$18:$W$45"),MATCH($A21,INDIRECT("'"&amp;D$1&amp;"'!$A$18:$A$45"),0)),0)</f>
        <v/>
      </c>
      <c r="E21" s="20">
        <f>SUM(B21:D21)</f>
        <v/>
      </c>
      <c r="F21" s="34">
        <f>SUMIF(Payments!$B:$B,$A21,Payments!$C:$C)+IF($A21=$B$2,IFERROR(SUMPRODUCT((INDIRECT("'"&amp;B$1&amp;"'!$B$14:$U$14")&gt;0)*INDIRECT("'"&amp;B$1&amp;"'!$B$13:$U$13")),0),0)+IF($A21=$C$2,IFERROR(SUMPRODUCT((INDIRECT("'"&amp;C$1&amp;"'!$B$14:$U$14")&gt;0)*INDIRECT("'"&amp;C$1&amp;"'!$B$13:$U$13")),0),0)+IF($A21=$D$2,IFERROR(SUMPRODUCT((INDIRECT("'"&amp;D$1&amp;"'!$B$14:$U$14")&gt;0)*INDIRECT("'"&amp;D$1&amp;"'!$B$13:$U$13")),0),0)</f>
        <v/>
      </c>
      <c r="G21" s="25">
        <f>E21-F21</f>
        <v/>
      </c>
    </row>
    <row r="22" ht="15.75" customHeight="1" s="38">
      <c r="A22" s="23" t="inlineStr">
        <is>
          <t>Phil Knott</t>
        </is>
      </c>
      <c r="B22" s="34">
        <f>IFERROR(INDEX(INDIRECT("'"&amp;B$1&amp;"'!$W$18:$W$45"),MATCH($A22,INDIRECT("'"&amp;B$1&amp;"'!$A$18:$A$45"),0)),0)</f>
        <v/>
      </c>
      <c r="C22" s="34">
        <f>IFERROR(INDEX(INDIRECT("'"&amp;C$1&amp;"'!$W$18:$W$45"),MATCH($A22,INDIRECT("'"&amp;C$1&amp;"'!$A$18:$A$45"),0)),0)</f>
        <v/>
      </c>
      <c r="D22" s="34">
        <f>IFERROR(INDEX(INDIRECT("'"&amp;D$1&amp;"'!$W$18:$W$45"),MATCH($A22,INDIRECT("'"&amp;D$1&amp;"'!$A$18:$A$45"),0)),0)</f>
        <v/>
      </c>
      <c r="E22" s="20">
        <f>SUM(B22:D22)</f>
        <v/>
      </c>
      <c r="F22" s="34">
        <f>SUMIF(Payments!$B:$B,$A22,Payments!$C:$C)+IF($A22=$B$2,IFERROR(SUMPRODUCT((INDIRECT("'"&amp;B$1&amp;"'!$B$14:$U$14")&gt;0)*INDIRECT("'"&amp;B$1&amp;"'!$B$13:$U$13")),0),0)+IF($A22=$C$2,IFERROR(SUMPRODUCT((INDIRECT("'"&amp;C$1&amp;"'!$B$14:$U$14")&gt;0)*INDIRECT("'"&amp;C$1&amp;"'!$B$13:$U$13")),0),0)+IF($A22=$D$2,IFERROR(SUMPRODUCT((INDIRECT("'"&amp;D$1&amp;"'!$B$14:$U$14")&gt;0)*INDIRECT("'"&amp;D$1&amp;"'!$B$13:$U$13")),0),0)</f>
        <v/>
      </c>
      <c r="G22" s="25">
        <f>E22-F22</f>
        <v/>
      </c>
    </row>
    <row r="23" ht="15.75" customHeight="1" s="38">
      <c r="A23" s="23" t="inlineStr">
        <is>
          <t>Robin Watson</t>
        </is>
      </c>
      <c r="B23" s="34">
        <f>IFERROR(INDEX(INDIRECT("'"&amp;B$1&amp;"'!$W$18:$W$45"),MATCH($A23,INDIRECT("'"&amp;B$1&amp;"'!$A$18:$A$45"),0)),0)</f>
        <v/>
      </c>
      <c r="C23" s="34">
        <f>IFERROR(INDEX(INDIRECT("'"&amp;C$1&amp;"'!$W$18:$W$45"),MATCH($A23,INDIRECT("'"&amp;C$1&amp;"'!$A$18:$A$45"),0)),0)</f>
        <v/>
      </c>
      <c r="D23" s="34">
        <f>IFERROR(INDEX(INDIRECT("'"&amp;D$1&amp;"'!$W$18:$W$45"),MATCH($A23,INDIRECT("'"&amp;D$1&amp;"'!$A$18:$A$45"),0)),0)</f>
        <v/>
      </c>
      <c r="E23" s="20">
        <f>SUM(B23:D23)</f>
        <v/>
      </c>
      <c r="F23" s="34">
        <f>SUMIF(Payments!$B:$B,$A23,Payments!$C:$C)+IF($A23=$B$2,IFERROR(SUMPRODUCT((INDIRECT("'"&amp;B$1&amp;"'!$B$14:$U$14")&gt;0)*INDIRECT("'"&amp;B$1&amp;"'!$B$13:$U$13")),0),0)+IF($A23=$C$2,IFERROR(SUMPRODUCT((INDIRECT("'"&amp;C$1&amp;"'!$B$14:$U$14")&gt;0)*INDIRECT("'"&amp;C$1&amp;"'!$B$13:$U$13")),0),0)+IF($A23=$D$2,IFERROR(SUMPRODUCT((INDIRECT("'"&amp;D$1&amp;"'!$B$14:$U$14")&gt;0)*INDIRECT("'"&amp;D$1&amp;"'!$B$13:$U$13")),0),0)</f>
        <v/>
      </c>
      <c r="G23" s="25">
        <f>E23-F23</f>
        <v/>
      </c>
    </row>
    <row r="24" ht="15.75" customHeight="1" s="38">
      <c r="A24" s="23" t="inlineStr">
        <is>
          <t>Sam Holt</t>
        </is>
      </c>
      <c r="B24" s="34">
        <f>IFERROR(INDEX(INDIRECT("'"&amp;B$1&amp;"'!$W$18:$W$45"),MATCH($A24,INDIRECT("'"&amp;B$1&amp;"'!$A$18:$A$45"),0)),0)</f>
        <v/>
      </c>
      <c r="C24" s="34">
        <f>IFERROR(INDEX(INDIRECT("'"&amp;C$1&amp;"'!$W$18:$W$45"),MATCH($A24,INDIRECT("'"&amp;C$1&amp;"'!$A$18:$A$45"),0)),0)</f>
        <v/>
      </c>
      <c r="D24" s="34">
        <f>IFERROR(INDEX(INDIRECT("'"&amp;D$1&amp;"'!$W$18:$W$45"),MATCH($A24,INDIRECT("'"&amp;D$1&amp;"'!$A$18:$A$45"),0)),0)</f>
        <v/>
      </c>
      <c r="E24" s="20">
        <f>SUM(B24:D24)</f>
        <v/>
      </c>
      <c r="F24" s="34">
        <f>SUMIF(Payments!$B:$B,$A24,Payments!$C:$C)+IF($A24=$B$2,IFERROR(SUMPRODUCT((INDIRECT("'"&amp;B$1&amp;"'!$B$14:$U$14")&gt;0)*INDIRECT("'"&amp;B$1&amp;"'!$B$13:$U$13")),0),0)+IF($A24=$C$2,IFERROR(SUMPRODUCT((INDIRECT("'"&amp;C$1&amp;"'!$B$14:$U$14")&gt;0)*INDIRECT("'"&amp;C$1&amp;"'!$B$13:$U$13")),0),0)+IF($A24=$D$2,IFERROR(SUMPRODUCT((INDIRECT("'"&amp;D$1&amp;"'!$B$14:$U$14")&gt;0)*INDIRECT("'"&amp;D$1&amp;"'!$B$13:$U$13")),0),0)</f>
        <v/>
      </c>
      <c r="G24" s="25">
        <f>E24-F24</f>
        <v/>
      </c>
    </row>
    <row r="25" ht="15.75" customHeight="1" s="38">
      <c r="A25" s="23" t="inlineStr">
        <is>
          <t>Seb Burgess</t>
        </is>
      </c>
      <c r="B25" s="34">
        <f>IFERROR(INDEX(INDIRECT("'"&amp;B$1&amp;"'!$W$18:$W$45"),MATCH($A25,INDIRECT("'"&amp;B$1&amp;"'!$A$18:$A$45"),0)),0)</f>
        <v/>
      </c>
      <c r="C25" s="34">
        <f>IFERROR(INDEX(INDIRECT("'"&amp;C$1&amp;"'!$W$18:$W$45"),MATCH($A25,INDIRECT("'"&amp;C$1&amp;"'!$A$18:$A$45"),0)),0)</f>
        <v/>
      </c>
      <c r="D25" s="34">
        <f>IFERROR(INDEX(INDIRECT("'"&amp;D$1&amp;"'!$W$18:$W$45"),MATCH($A25,INDIRECT("'"&amp;D$1&amp;"'!$A$18:$A$45"),0)),0)</f>
        <v/>
      </c>
      <c r="E25" s="20">
        <f>SUM(B25:D25)</f>
        <v/>
      </c>
      <c r="F25" s="34">
        <f>SUMIF(Payments!$B:$B,$A25,Payments!$C:$C)+IF($A25=$B$2,IFERROR(SUMPRODUCT((INDIRECT("'"&amp;B$1&amp;"'!$B$14:$U$14")&gt;0)*INDIRECT("'"&amp;B$1&amp;"'!$B$13:$U$13")),0),0)+IF($A25=$C$2,IFERROR(SUMPRODUCT((INDIRECT("'"&amp;C$1&amp;"'!$B$14:$U$14")&gt;0)*INDIRECT("'"&amp;C$1&amp;"'!$B$13:$U$13")),0),0)+IF($A25=$D$2,IFERROR(SUMPRODUCT((INDIRECT("'"&amp;D$1&amp;"'!$B$14:$U$14")&gt;0)*INDIRECT("'"&amp;D$1&amp;"'!$B$13:$U$13")),0),0)</f>
        <v/>
      </c>
      <c r="G25" s="25">
        <f>E25-F25</f>
        <v/>
      </c>
    </row>
    <row r="26" ht="15.75" customHeight="1" s="38">
      <c r="A26" s="23" t="n"/>
      <c r="B26" s="34">
        <f>IFERROR(INDEX(INDIRECT("'"&amp;B$1&amp;"'!$W$18:$W$45"),MATCH($A26,INDIRECT("'"&amp;B$1&amp;"'!$A$18:$A$45"),0)),0)</f>
        <v/>
      </c>
      <c r="C26" s="34">
        <f>IFERROR(INDEX(INDIRECT("'"&amp;C$1&amp;"'!$W$18:$W$45"),MATCH($A26,INDIRECT("'"&amp;C$1&amp;"'!$A$18:$A$45"),0)),0)</f>
        <v/>
      </c>
      <c r="D26" s="34">
        <f>IFERROR(INDEX(INDIRECT("'"&amp;D$1&amp;"'!$W$18:$W$45"),MATCH($A26,INDIRECT("'"&amp;D$1&amp;"'!$A$18:$A$45"),0)),0)</f>
        <v/>
      </c>
      <c r="E26" s="20">
        <f>SUM(B26:D26)</f>
        <v/>
      </c>
      <c r="F26" s="34">
        <f>SUMIF(Payments!$B:$B,$A26,Payments!$C:$C)+IF($A26=$B$2,IFERROR(SUMPRODUCT((INDIRECT("'"&amp;B$1&amp;"'!$B$14:$U$14")&gt;0)*INDIRECT("'"&amp;B$1&amp;"'!$B$13:$U$13")),0),0)+IF($A26=$C$2,IFERROR(SUMPRODUCT((INDIRECT("'"&amp;C$1&amp;"'!$B$14:$U$14")&gt;0)*INDIRECT("'"&amp;C$1&amp;"'!$B$13:$U$13")),0),0)+IF($A26=$D$2,IFERROR(SUMPRODUCT((INDIRECT("'"&amp;D$1&amp;"'!$B$14:$U$14")&gt;0)*INDIRECT("'"&amp;D$1&amp;"'!$B$13:$U$13")),0),0)</f>
        <v/>
      </c>
      <c r="G26" s="25">
        <f>E26-F26</f>
        <v/>
      </c>
    </row>
    <row r="27" ht="15.75" customHeight="1" s="38">
      <c r="A27" s="23" t="n"/>
      <c r="B27" s="34">
        <f>IFERROR(INDEX(INDIRECT("'"&amp;B$1&amp;"'!$W$18:$W$45"),MATCH($A27,INDIRECT("'"&amp;B$1&amp;"'!$A$18:$A$45"),0)),0)</f>
        <v/>
      </c>
      <c r="C27" s="34">
        <f>IFERROR(INDEX(INDIRECT("'"&amp;C$1&amp;"'!$W$18:$W$45"),MATCH($A27,INDIRECT("'"&amp;C$1&amp;"'!$A$18:$A$45"),0)),0)</f>
        <v/>
      </c>
      <c r="D27" s="34">
        <f>IFERROR(INDEX(INDIRECT("'"&amp;D$1&amp;"'!$W$18:$W$45"),MATCH($A27,INDIRECT("'"&amp;D$1&amp;"'!$A$18:$A$45"),0)),0)</f>
        <v/>
      </c>
      <c r="E27" s="20">
        <f>SUM(B27:D27)</f>
        <v/>
      </c>
      <c r="F27" s="34">
        <f>SUMIF(Payments!$B:$B,$A27,Payments!$C:$C)+IF($A27=$B$2,IFERROR(SUMPRODUCT((INDIRECT("'"&amp;B$1&amp;"'!$B$14:$U$14")&gt;0)*INDIRECT("'"&amp;B$1&amp;"'!$B$13:$U$13")),0),0)+IF($A27=$C$2,IFERROR(SUMPRODUCT((INDIRECT("'"&amp;C$1&amp;"'!$B$14:$U$14")&gt;0)*INDIRECT("'"&amp;C$1&amp;"'!$B$13:$U$13")),0),0)+IF($A27=$D$2,IFERROR(SUMPRODUCT((INDIRECT("'"&amp;D$1&amp;"'!$B$14:$U$14")&gt;0)*INDIRECT("'"&amp;D$1&amp;"'!$B$13:$U$13")),0),0)</f>
        <v/>
      </c>
      <c r="G27" s="25">
        <f>E27-F27</f>
        <v/>
      </c>
    </row>
    <row r="28" ht="15.75" customHeight="1" s="38">
      <c r="A28" s="23" t="n"/>
      <c r="B28" s="34">
        <f>IFERROR(INDEX(INDIRECT("'"&amp;B$1&amp;"'!$W$18:$W$45"),MATCH($A28,INDIRECT("'"&amp;B$1&amp;"'!$A$18:$A$45"),0)),0)</f>
        <v/>
      </c>
      <c r="C28" s="34">
        <f>IFERROR(INDEX(INDIRECT("'"&amp;C$1&amp;"'!$W$18:$W$45"),MATCH($A28,INDIRECT("'"&amp;C$1&amp;"'!$A$18:$A$45"),0)),0)</f>
        <v/>
      </c>
      <c r="D28" s="34">
        <f>IFERROR(INDEX(INDIRECT("'"&amp;D$1&amp;"'!$W$18:$W$45"),MATCH($A28,INDIRECT("'"&amp;D$1&amp;"'!$A$18:$A$45"),0)),0)</f>
        <v/>
      </c>
      <c r="E28" s="20">
        <f>SUM(B28:D28)</f>
        <v/>
      </c>
      <c r="F28" s="34">
        <f>SUMIF(Payments!$B:$B,$A28,Payments!$C:$C)+IF($A28=$B$2,IFERROR(SUMPRODUCT((INDIRECT("'"&amp;B$1&amp;"'!$B$14:$U$14")&gt;0)*INDIRECT("'"&amp;B$1&amp;"'!$B$13:$U$13")),0),0)+IF($A28=$C$2,IFERROR(SUMPRODUCT((INDIRECT("'"&amp;C$1&amp;"'!$B$14:$U$14")&gt;0)*INDIRECT("'"&amp;C$1&amp;"'!$B$13:$U$13")),0),0)+IF($A28=$D$2,IFERROR(SUMPRODUCT((INDIRECT("'"&amp;D$1&amp;"'!$B$14:$U$14")&gt;0)*INDIRECT("'"&amp;D$1&amp;"'!$B$13:$U$13")),0),0)</f>
        <v/>
      </c>
      <c r="G28" s="25">
        <f>E28-F28</f>
        <v/>
      </c>
    </row>
    <row r="29" ht="15.75" customHeight="1" s="38">
      <c r="A29" s="23" t="n"/>
      <c r="B29" s="34">
        <f>IFERROR(INDEX(INDIRECT("'"&amp;B$1&amp;"'!$W$18:$W$45"),MATCH($A29,INDIRECT("'"&amp;B$1&amp;"'!$A$18:$A$45"),0)),0)</f>
        <v/>
      </c>
      <c r="C29" s="34">
        <f>IFERROR(INDEX(INDIRECT("'"&amp;C$1&amp;"'!$W$18:$W$45"),MATCH($A29,INDIRECT("'"&amp;C$1&amp;"'!$A$18:$A$45"),0)),0)</f>
        <v/>
      </c>
      <c r="D29" s="34">
        <f>IFERROR(INDEX(INDIRECT("'"&amp;D$1&amp;"'!$W$18:$W$45"),MATCH($A29,INDIRECT("'"&amp;D$1&amp;"'!$A$18:$A$45"),0)),0)</f>
        <v/>
      </c>
      <c r="E29" s="20">
        <f>SUM(B29:D29)</f>
        <v/>
      </c>
      <c r="F29" s="34">
        <f>SUMIF(Payments!$B:$B,$A29,Payments!$C:$C)+IF($A29=$B$2,IFERROR(SUMPRODUCT((INDIRECT("'"&amp;B$1&amp;"'!$B$14:$U$14")&gt;0)*INDIRECT("'"&amp;B$1&amp;"'!$B$13:$U$13")),0),0)+IF($A29=$C$2,IFERROR(SUMPRODUCT((INDIRECT("'"&amp;C$1&amp;"'!$B$14:$U$14")&gt;0)*INDIRECT("'"&amp;C$1&amp;"'!$B$13:$U$13")),0),0)+IF($A29=$D$2,IFERROR(SUMPRODUCT((INDIRECT("'"&amp;D$1&amp;"'!$B$14:$U$14")&gt;0)*INDIRECT("'"&amp;D$1&amp;"'!$B$13:$U$13")),0),0)</f>
        <v/>
      </c>
      <c r="G29" s="25">
        <f>E29-F29</f>
        <v/>
      </c>
    </row>
    <row r="30" ht="15.75" customHeight="1" s="38">
      <c r="A30" s="23" t="n"/>
      <c r="B30" s="34">
        <f>IFERROR(INDEX(INDIRECT("'"&amp;B$1&amp;"'!$W$18:$W$45"),MATCH($A30,INDIRECT("'"&amp;B$1&amp;"'!$A$18:$A$45"),0)),0)</f>
        <v/>
      </c>
      <c r="C30" s="34">
        <f>IFERROR(INDEX(INDIRECT("'"&amp;C$1&amp;"'!$W$18:$W$45"),MATCH($A30,INDIRECT("'"&amp;C$1&amp;"'!$A$18:$A$45"),0)),0)</f>
        <v/>
      </c>
      <c r="D30" s="34">
        <f>IFERROR(INDEX(INDIRECT("'"&amp;D$1&amp;"'!$W$18:$W$45"),MATCH($A30,INDIRECT("'"&amp;D$1&amp;"'!$A$18:$A$45"),0)),0)</f>
        <v/>
      </c>
      <c r="E30" s="20">
        <f>SUM(B30:D30)</f>
        <v/>
      </c>
      <c r="F30" s="34">
        <f>SUMIF(Payments!$B:$B,$A30,Payments!$C:$C)+IF($A30=$B$2,IFERROR(SUMPRODUCT((INDIRECT("'"&amp;B$1&amp;"'!$B$14:$U$14")&gt;0)*INDIRECT("'"&amp;B$1&amp;"'!$B$13:$U$13")),0),0)+IF($A30=$C$2,IFERROR(SUMPRODUCT((INDIRECT("'"&amp;C$1&amp;"'!$B$14:$U$14")&gt;0)*INDIRECT("'"&amp;C$1&amp;"'!$B$13:$U$13")),0),0)+IF($A30=$D$2,IFERROR(SUMPRODUCT((INDIRECT("'"&amp;D$1&amp;"'!$B$14:$U$14")&gt;0)*INDIRECT("'"&amp;D$1&amp;"'!$B$13:$U$13")),0),0)</f>
        <v/>
      </c>
      <c r="G30" s="25">
        <f>E30-F30</f>
        <v/>
      </c>
    </row>
    <row r="31" ht="15.75" customHeight="1" s="38">
      <c r="A31" s="23" t="n"/>
      <c r="B31" s="34">
        <f>IFERROR(INDEX(INDIRECT("'"&amp;B$1&amp;"'!$W$18:$W$45"),MATCH($A31,INDIRECT("'"&amp;B$1&amp;"'!$A$18:$A$45"),0)),0)</f>
        <v/>
      </c>
      <c r="C31" s="34">
        <f>IFERROR(INDEX(INDIRECT("'"&amp;C$1&amp;"'!$W$18:$W$45"),MATCH($A31,INDIRECT("'"&amp;C$1&amp;"'!$A$18:$A$45"),0)),0)</f>
        <v/>
      </c>
      <c r="D31" s="34">
        <f>IFERROR(INDEX(INDIRECT("'"&amp;D$1&amp;"'!$W$18:$W$45"),MATCH($A31,INDIRECT("'"&amp;D$1&amp;"'!$A$18:$A$45"),0)),0)</f>
        <v/>
      </c>
      <c r="E31" s="20">
        <f>SUM(B31:D31)</f>
        <v/>
      </c>
      <c r="F31" s="34">
        <f>SUMIF(Payments!$B:$B,$A31,Payments!$C:$C)+IF($A31=$B$2,IFERROR(SUMPRODUCT((INDIRECT("'"&amp;B$1&amp;"'!$B$14:$U$14")&gt;0)*INDIRECT("'"&amp;B$1&amp;"'!$B$13:$U$13")),0),0)+IF($A31=$C$2,IFERROR(SUMPRODUCT((INDIRECT("'"&amp;C$1&amp;"'!$B$14:$U$14")&gt;0)*INDIRECT("'"&amp;C$1&amp;"'!$B$13:$U$13")),0),0)+IF($A31=$D$2,IFERROR(SUMPRODUCT((INDIRECT("'"&amp;D$1&amp;"'!$B$14:$U$14")&gt;0)*INDIRECT("'"&amp;D$1&amp;"'!$B$13:$U$13")),0),0)</f>
        <v/>
      </c>
      <c r="G31" s="25">
        <f>E31-F31</f>
        <v/>
      </c>
    </row>
    <row r="32" ht="15.75" customHeight="1" s="38">
      <c r="A32" s="7" t="inlineStr">
        <is>
          <t>Total</t>
        </is>
      </c>
      <c r="B32" s="25">
        <f>SUM(B4:B31)</f>
        <v/>
      </c>
      <c r="C32" s="25">
        <f>SUM(C4:C31)</f>
        <v/>
      </c>
      <c r="D32" s="25">
        <f>SUM(D4:D31)</f>
        <v/>
      </c>
      <c r="E32" s="25">
        <f>SUM(E4:E31)</f>
        <v/>
      </c>
      <c r="F32" s="25">
        <f>SUM(F4:F31)</f>
        <v/>
      </c>
      <c r="G32" s="25">
        <f>SUM(G4:G31)</f>
        <v/>
      </c>
    </row>
    <row r="33" ht="15.75" customHeight="1" s="38"/>
    <row r="34" ht="15.75" customHeight="1" s="38"/>
    <row r="35" ht="15.75" customHeight="1" s="38"/>
    <row r="36" ht="15.75" customHeight="1" s="38"/>
    <row r="37" ht="15.75" customHeight="1" s="38"/>
    <row r="38" ht="15.75" customHeight="1" s="38"/>
    <row r="39" ht="15.75" customHeight="1" s="38"/>
    <row r="40" ht="15.75" customHeight="1" s="38"/>
    <row r="41" ht="15.75" customHeight="1" s="38"/>
    <row r="42" ht="15.75" customHeight="1" s="38"/>
    <row r="43" ht="15.75" customHeight="1" s="38"/>
    <row r="44" ht="15.75" customHeight="1" s="38"/>
    <row r="45" ht="15.75" customHeight="1" s="38"/>
    <row r="46" ht="15.75" customHeight="1" s="38"/>
    <row r="47" ht="15.75" customHeight="1" s="38"/>
    <row r="48" ht="15.75" customHeight="1" s="38"/>
    <row r="49" ht="15.75" customHeight="1" s="38"/>
    <row r="50" ht="15.75" customHeight="1" s="38"/>
    <row r="51" ht="15.75" customHeight="1" s="38"/>
    <row r="52" ht="15.75" customHeight="1" s="38"/>
    <row r="53" ht="15.75" customHeight="1" s="38"/>
    <row r="54" ht="15.75" customHeight="1" s="38"/>
    <row r="55" ht="15.75" customHeight="1" s="38"/>
    <row r="56" ht="15.75" customHeight="1" s="38"/>
    <row r="57" ht="15.75" customHeight="1" s="38"/>
    <row r="58" ht="15.75" customHeight="1" s="38"/>
    <row r="59" ht="15.75" customHeight="1" s="38"/>
    <row r="60" ht="15.75" customHeight="1" s="38"/>
    <row r="61" ht="15.75" customHeight="1" s="38"/>
    <row r="62" ht="15.75" customHeight="1" s="38"/>
    <row r="63" ht="15.75" customHeight="1" s="38"/>
    <row r="64" ht="15.75" customHeight="1" s="38"/>
    <row r="65" ht="15.75" customHeight="1" s="38"/>
    <row r="66" ht="15.75" customHeight="1" s="38"/>
    <row r="67" ht="15.75" customHeight="1" s="38"/>
    <row r="68" ht="15.75" customHeight="1" s="38"/>
    <row r="69" ht="15.75" customHeight="1" s="38"/>
    <row r="70" ht="15.75" customHeight="1" s="38"/>
    <row r="71" ht="15.75" customHeight="1" s="38"/>
    <row r="72" ht="15.75" customHeight="1" s="38"/>
    <row r="73" ht="15.75" customHeight="1" s="38"/>
    <row r="74" ht="15.75" customHeight="1" s="38"/>
    <row r="75" ht="15.75" customHeight="1" s="38"/>
    <row r="76" ht="15.75" customHeight="1" s="38"/>
    <row r="77" ht="15.75" customHeight="1" s="38"/>
    <row r="78" ht="15.75" customHeight="1" s="38"/>
    <row r="79" ht="15.75" customHeight="1" s="38"/>
    <row r="80" ht="15.75" customHeight="1" s="38"/>
    <row r="81" ht="15.75" customHeight="1" s="38"/>
    <row r="82" ht="15.75" customHeight="1" s="38"/>
    <row r="83" ht="15.75" customHeight="1" s="38"/>
    <row r="84" ht="15.75" customHeight="1" s="38"/>
    <row r="85" ht="15.75" customHeight="1" s="38"/>
    <row r="86" ht="15.75" customHeight="1" s="38"/>
    <row r="87" ht="15.75" customHeight="1" s="38"/>
    <row r="88" ht="15.75" customHeight="1" s="38"/>
    <row r="89" ht="15.75" customHeight="1" s="38"/>
    <row r="90" ht="15.75" customHeight="1" s="38"/>
    <row r="91" ht="15.75" customHeight="1" s="38"/>
    <row r="92" ht="15.75" customHeight="1" s="38"/>
    <row r="93" ht="15.75" customHeight="1" s="38"/>
    <row r="94" ht="15.75" customHeight="1" s="38"/>
    <row r="95" ht="15.75" customHeight="1" s="38"/>
    <row r="96" ht="15.75" customHeight="1" s="38"/>
    <row r="97" ht="15.75" customHeight="1" s="38"/>
    <row r="98" ht="15.75" customHeight="1" s="38"/>
    <row r="99" ht="15.75" customHeight="1" s="38"/>
    <row r="100" ht="15.75" customHeight="1" s="38"/>
    <row r="101" ht="15.75" customHeight="1" s="38"/>
    <row r="102" ht="15.75" customHeight="1" s="38"/>
    <row r="103" ht="15.75" customHeight="1" s="38"/>
    <row r="104" ht="15.75" customHeight="1" s="38"/>
    <row r="105" ht="15.75" customHeight="1" s="38"/>
    <row r="106" ht="15.75" customHeight="1" s="38"/>
    <row r="107" ht="15.75" customHeight="1" s="38"/>
    <row r="108" ht="15.75" customHeight="1" s="38"/>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ColWidth="14.43" defaultRowHeight="15" customHeight="1"/>
  <cols>
    <col width="26" customWidth="1" style="38" min="1" max="1"/>
    <col width="12" customWidth="1" style="38" min="2" max="6"/>
    <col width="8.710000000000001" customWidth="1" style="38" min="7" max="26"/>
  </cols>
  <sheetData>
    <row r="1">
      <c r="A1" s="4" t="inlineStr">
        <is>
          <t>PAYMENTS RECEIVED — one row per transfer</t>
        </is>
      </c>
      <c r="B1" s="5" t="n"/>
      <c r="C1" s="5" t="n"/>
      <c r="D1" s="5" t="n"/>
    </row>
    <row r="2">
      <c r="A2" s="6" t="inlineStr">
        <is>
          <t>Date</t>
        </is>
      </c>
      <c r="B2" s="6" t="inlineStr">
        <is>
          <t>Player</t>
        </is>
      </c>
      <c r="C2" s="6" t="inlineStr">
        <is>
          <t>Amount (£)</t>
        </is>
      </c>
      <c r="D2" s="6" t="inlineStr">
        <is>
          <t>Note</t>
        </is>
      </c>
      <c r="F2" s="35" t="inlineStr">
        <is>
          <t>format: 05/09/2026 · Phil Knott · 40 · bank transfer</t>
        </is>
      </c>
    </row>
    <row r="3">
      <c r="A3" s="36" t="n"/>
      <c r="B3" s="23" t="n"/>
      <c r="C3" s="37" t="n"/>
      <c r="D3" s="23" t="n"/>
    </row>
    <row r="4">
      <c r="A4" s="36" t="n"/>
      <c r="B4" s="23" t="n"/>
      <c r="C4" s="37" t="n"/>
      <c r="D4" s="23" t="n"/>
    </row>
    <row r="5">
      <c r="A5" s="36" t="n"/>
      <c r="B5" s="23" t="n"/>
      <c r="C5" s="37" t="n"/>
      <c r="D5" s="23" t="n"/>
    </row>
    <row r="6">
      <c r="A6" s="36" t="n"/>
      <c r="B6" s="23" t="n"/>
      <c r="C6" s="37" t="n"/>
      <c r="D6" s="23" t="n"/>
    </row>
    <row r="7">
      <c r="A7" s="36" t="n"/>
      <c r="B7" s="23" t="n"/>
      <c r="C7" s="37" t="n"/>
      <c r="D7" s="23" t="n"/>
    </row>
    <row r="8">
      <c r="A8" s="36" t="n"/>
      <c r="B8" s="23" t="n"/>
      <c r="C8" s="37" t="n"/>
      <c r="D8" s="23" t="n"/>
    </row>
    <row r="9">
      <c r="A9" s="36" t="n"/>
      <c r="B9" s="23" t="n"/>
      <c r="C9" s="37" t="n"/>
      <c r="D9" s="23" t="n"/>
    </row>
    <row r="10">
      <c r="A10" s="36" t="n"/>
      <c r="B10" s="23" t="n"/>
      <c r="C10" s="37" t="n"/>
      <c r="D10" s="23" t="n"/>
    </row>
    <row r="11">
      <c r="A11" s="36" t="n"/>
      <c r="B11" s="23" t="n"/>
      <c r="C11" s="37" t="n"/>
      <c r="D11" s="23" t="n"/>
    </row>
    <row r="12">
      <c r="A12" s="36" t="n"/>
      <c r="B12" s="23" t="n"/>
      <c r="C12" s="37" t="n"/>
      <c r="D12" s="23" t="n"/>
    </row>
    <row r="13">
      <c r="A13" s="36" t="n"/>
      <c r="B13" s="23" t="n"/>
      <c r="C13" s="37" t="n"/>
      <c r="D13" s="23" t="n"/>
    </row>
    <row r="14">
      <c r="A14" s="36" t="n"/>
      <c r="B14" s="23" t="n"/>
      <c r="C14" s="37" t="n"/>
      <c r="D14" s="23" t="n"/>
    </row>
    <row r="15">
      <c r="A15" s="36" t="n"/>
      <c r="B15" s="23" t="n"/>
      <c r="C15" s="37" t="n"/>
      <c r="D15" s="23" t="n"/>
    </row>
    <row r="16">
      <c r="A16" s="36" t="n"/>
      <c r="B16" s="23" t="n"/>
      <c r="C16" s="37" t="n"/>
      <c r="D16" s="23" t="n"/>
    </row>
    <row r="17">
      <c r="A17" s="36" t="n"/>
      <c r="B17" s="23" t="n"/>
      <c r="C17" s="37" t="n"/>
      <c r="D17" s="23" t="n"/>
    </row>
    <row r="18">
      <c r="A18" s="36" t="n"/>
      <c r="B18" s="23" t="n"/>
      <c r="C18" s="37" t="n"/>
      <c r="D18" s="23" t="n"/>
    </row>
    <row r="19">
      <c r="A19" s="36" t="n"/>
      <c r="B19" s="23" t="n"/>
      <c r="C19" s="37" t="n"/>
      <c r="D19" s="23" t="n"/>
    </row>
    <row r="20">
      <c r="A20" s="36" t="n"/>
      <c r="B20" s="23" t="n"/>
      <c r="C20" s="37" t="n"/>
      <c r="D20" s="23" t="n"/>
    </row>
    <row r="21" ht="15.75" customHeight="1" s="38">
      <c r="A21" s="36" t="n"/>
      <c r="B21" s="23" t="n"/>
      <c r="C21" s="37" t="n"/>
      <c r="D21" s="23" t="n"/>
    </row>
    <row r="22" ht="15.75" customHeight="1" s="38">
      <c r="A22" s="36" t="n"/>
      <c r="B22" s="23" t="n"/>
      <c r="C22" s="37" t="n"/>
      <c r="D22" s="23" t="n"/>
    </row>
    <row r="23" ht="15.75" customHeight="1" s="38">
      <c r="A23" s="36" t="n"/>
      <c r="B23" s="23" t="n"/>
      <c r="C23" s="37" t="n"/>
      <c r="D23" s="23" t="n"/>
    </row>
    <row r="24" ht="15.75" customHeight="1" s="38">
      <c r="A24" s="36" t="n"/>
      <c r="B24" s="23" t="n"/>
      <c r="C24" s="37" t="n"/>
      <c r="D24" s="23" t="n"/>
    </row>
    <row r="25" ht="15.75" customHeight="1" s="38">
      <c r="A25" s="36" t="n"/>
      <c r="B25" s="23" t="n"/>
      <c r="C25" s="37" t="n"/>
      <c r="D25" s="23" t="n"/>
    </row>
    <row r="26" ht="15.75" customHeight="1" s="38">
      <c r="A26" s="36" t="n"/>
      <c r="B26" s="23" t="n"/>
      <c r="C26" s="37" t="n"/>
      <c r="D26" s="23" t="n"/>
    </row>
    <row r="27" ht="15.75" customHeight="1" s="38">
      <c r="A27" s="36" t="n"/>
      <c r="B27" s="23" t="n"/>
      <c r="C27" s="37" t="n"/>
      <c r="D27" s="23" t="n"/>
    </row>
    <row r="28" ht="15.75" customHeight="1" s="38">
      <c r="A28" s="36" t="n"/>
      <c r="B28" s="23" t="n"/>
      <c r="C28" s="37" t="n"/>
      <c r="D28" s="23" t="n"/>
    </row>
    <row r="29" ht="15.75" customHeight="1" s="38">
      <c r="A29" s="36" t="n"/>
      <c r="B29" s="23" t="n"/>
      <c r="C29" s="37" t="n"/>
      <c r="D29" s="23" t="n"/>
    </row>
    <row r="30" ht="15.75" customHeight="1" s="38">
      <c r="A30" s="36" t="n"/>
      <c r="B30" s="23" t="n"/>
      <c r="C30" s="37" t="n"/>
      <c r="D30" s="23" t="n"/>
    </row>
    <row r="31" ht="15.75" customHeight="1" s="38">
      <c r="A31" s="36" t="n"/>
      <c r="B31" s="23" t="n"/>
      <c r="C31" s="37" t="n"/>
      <c r="D31" s="23" t="n"/>
    </row>
    <row r="32" ht="15.75" customHeight="1" s="38">
      <c r="A32" s="36" t="n"/>
      <c r="B32" s="23" t="n"/>
      <c r="C32" s="37" t="n"/>
      <c r="D32" s="23" t="n"/>
    </row>
    <row r="33" ht="15.75" customHeight="1" s="38">
      <c r="A33" s="36" t="n"/>
      <c r="B33" s="23" t="n"/>
      <c r="C33" s="37" t="n"/>
      <c r="D33" s="23" t="n"/>
    </row>
    <row r="34" ht="15.75" customHeight="1" s="38">
      <c r="A34" s="36" t="n"/>
      <c r="B34" s="23" t="n"/>
      <c r="C34" s="37" t="n"/>
      <c r="D34" s="23" t="n"/>
    </row>
    <row r="35" ht="15.75" customHeight="1" s="38">
      <c r="A35" s="36" t="n"/>
      <c r="B35" s="23" t="n"/>
      <c r="C35" s="37" t="n"/>
      <c r="D35" s="23" t="n"/>
    </row>
    <row r="36" ht="15.75" customHeight="1" s="38">
      <c r="A36" s="36" t="n"/>
      <c r="B36" s="23" t="n"/>
      <c r="C36" s="37" t="n"/>
      <c r="D36" s="23" t="n"/>
    </row>
    <row r="37" ht="15.75" customHeight="1" s="38">
      <c r="A37" s="36" t="n"/>
      <c r="B37" s="23" t="n"/>
      <c r="C37" s="37" t="n"/>
      <c r="D37" s="23" t="n"/>
    </row>
    <row r="38" ht="15.75" customHeight="1" s="38">
      <c r="A38" s="36" t="n"/>
      <c r="B38" s="23" t="n"/>
      <c r="C38" s="37" t="n"/>
      <c r="D38" s="23" t="n"/>
    </row>
    <row r="39" ht="15.75" customHeight="1" s="38">
      <c r="A39" s="36" t="n"/>
      <c r="B39" s="23" t="n"/>
      <c r="C39" s="37" t="n"/>
      <c r="D39" s="23" t="n"/>
    </row>
    <row r="40" ht="15.75" customHeight="1" s="38">
      <c r="A40" s="36" t="n"/>
      <c r="B40" s="23" t="n"/>
      <c r="C40" s="37" t="n"/>
      <c r="D40" s="23" t="n"/>
    </row>
    <row r="41" ht="15.75" customHeight="1" s="38">
      <c r="A41" s="36" t="n"/>
      <c r="B41" s="23" t="n"/>
      <c r="C41" s="37" t="n"/>
      <c r="D41" s="23" t="n"/>
    </row>
    <row r="42" ht="15.75" customHeight="1" s="38">
      <c r="A42" s="36" t="n"/>
      <c r="B42" s="23" t="n"/>
      <c r="C42" s="37" t="n"/>
      <c r="D42" s="23" t="n"/>
    </row>
    <row r="43" ht="15.75" customHeight="1" s="38">
      <c r="A43" s="36" t="n"/>
      <c r="B43" s="23" t="n"/>
      <c r="C43" s="37" t="n"/>
      <c r="D43" s="23" t="n"/>
    </row>
    <row r="44" ht="15.75" customHeight="1" s="38">
      <c r="A44" s="36" t="n"/>
      <c r="B44" s="23" t="n"/>
      <c r="C44" s="37" t="n"/>
      <c r="D44" s="23" t="n"/>
    </row>
    <row r="45" ht="15.75" customHeight="1" s="38">
      <c r="A45" s="36" t="n"/>
      <c r="B45" s="23" t="n"/>
      <c r="C45" s="37" t="n"/>
      <c r="D45" s="23" t="n"/>
    </row>
    <row r="46" ht="15.75" customHeight="1" s="38">
      <c r="A46" s="36" t="n"/>
      <c r="B46" s="23" t="n"/>
      <c r="C46" s="37" t="n"/>
      <c r="D46" s="23" t="n"/>
    </row>
    <row r="47" ht="15.75" customHeight="1" s="38">
      <c r="A47" s="36" t="n"/>
      <c r="B47" s="23" t="n"/>
      <c r="C47" s="37" t="n"/>
      <c r="D47" s="23" t="n"/>
    </row>
    <row r="48" ht="15.75" customHeight="1" s="38">
      <c r="A48" s="36" t="n"/>
      <c r="B48" s="23" t="n"/>
      <c r="C48" s="37" t="n"/>
      <c r="D48" s="23" t="n"/>
    </row>
    <row r="49" ht="15.75" customHeight="1" s="38">
      <c r="A49" s="36" t="n"/>
      <c r="B49" s="23" t="n"/>
      <c r="C49" s="37" t="n"/>
      <c r="D49" s="23" t="n"/>
    </row>
    <row r="50" ht="15.75" customHeight="1" s="38">
      <c r="A50" s="36" t="n"/>
      <c r="B50" s="23" t="n"/>
      <c r="C50" s="37" t="n"/>
      <c r="D50" s="23" t="n"/>
    </row>
    <row r="51" ht="15.75" customHeight="1" s="38">
      <c r="A51" s="36" t="n"/>
      <c r="B51" s="23" t="n"/>
      <c r="C51" s="37" t="n"/>
      <c r="D51" s="23" t="n"/>
    </row>
    <row r="52" ht="15.75" customHeight="1" s="38">
      <c r="A52" s="36" t="n"/>
      <c r="B52" s="23" t="n"/>
      <c r="C52" s="37" t="n"/>
      <c r="D52" s="23" t="n"/>
    </row>
    <row r="53" ht="15.75" customHeight="1" s="38">
      <c r="A53" s="36" t="n"/>
      <c r="B53" s="23" t="n"/>
      <c r="C53" s="37" t="n"/>
      <c r="D53" s="23" t="n"/>
    </row>
    <row r="54" ht="15.75" customHeight="1" s="38">
      <c r="A54" s="36" t="n"/>
      <c r="B54" s="23" t="n"/>
      <c r="C54" s="37" t="n"/>
      <c r="D54" s="23" t="n"/>
    </row>
    <row r="55" ht="15.75" customHeight="1" s="38">
      <c r="A55" s="36" t="n"/>
      <c r="B55" s="23" t="n"/>
      <c r="C55" s="37" t="n"/>
      <c r="D55" s="23" t="n"/>
    </row>
    <row r="56" ht="15.75" customHeight="1" s="38">
      <c r="A56" s="36" t="n"/>
      <c r="B56" s="23" t="n"/>
      <c r="C56" s="37" t="n"/>
      <c r="D56" s="23" t="n"/>
    </row>
    <row r="57" ht="15.75" customHeight="1" s="38">
      <c r="A57" s="36" t="n"/>
      <c r="B57" s="23" t="n"/>
      <c r="C57" s="37" t="n"/>
      <c r="D57" s="23" t="n"/>
    </row>
    <row r="58" ht="15.75" customHeight="1" s="38">
      <c r="A58" s="36" t="n"/>
      <c r="B58" s="23" t="n"/>
      <c r="C58" s="37" t="n"/>
      <c r="D58" s="23" t="n"/>
    </row>
    <row r="59" ht="15.75" customHeight="1" s="38">
      <c r="A59" s="36" t="n"/>
      <c r="B59" s="23" t="n"/>
      <c r="C59" s="37" t="n"/>
      <c r="D59" s="23" t="n"/>
    </row>
    <row r="60" ht="15.75" customHeight="1" s="38">
      <c r="A60" s="36" t="n"/>
      <c r="B60" s="23" t="n"/>
      <c r="C60" s="37" t="n"/>
      <c r="D60" s="23" t="n"/>
    </row>
    <row r="61" ht="15.75" customHeight="1" s="38">
      <c r="A61" s="36" t="n"/>
      <c r="B61" s="23" t="n"/>
      <c r="C61" s="37" t="n"/>
      <c r="D61" s="23" t="n"/>
    </row>
    <row r="62" ht="15.75" customHeight="1" s="38">
      <c r="A62" s="36" t="n"/>
      <c r="B62" s="23" t="n"/>
      <c r="C62" s="37" t="n"/>
      <c r="D62" s="23" t="n"/>
    </row>
    <row r="63" ht="15.75" customHeight="1" s="38">
      <c r="A63" s="36" t="n"/>
      <c r="B63" s="23" t="n"/>
      <c r="C63" s="37" t="n"/>
      <c r="D63" s="23" t="n"/>
    </row>
    <row r="64" ht="15.75" customHeight="1" s="38">
      <c r="A64" s="36" t="n"/>
      <c r="B64" s="23" t="n"/>
      <c r="C64" s="37" t="n"/>
      <c r="D64" s="23" t="n"/>
    </row>
    <row r="65" ht="15.75" customHeight="1" s="38">
      <c r="A65" s="36" t="n"/>
      <c r="B65" s="23" t="n"/>
      <c r="C65" s="37" t="n"/>
      <c r="D65" s="23" t="n"/>
    </row>
    <row r="66" ht="15.75" customHeight="1" s="38">
      <c r="A66" s="36" t="n"/>
      <c r="B66" s="23" t="n"/>
      <c r="C66" s="37" t="n"/>
      <c r="D66" s="23" t="n"/>
    </row>
    <row r="67" ht="15.75" customHeight="1" s="38">
      <c r="A67" s="36" t="n"/>
      <c r="B67" s="23" t="n"/>
      <c r="C67" s="37" t="n"/>
      <c r="D67" s="23" t="n"/>
    </row>
    <row r="68" ht="15.75" customHeight="1" s="38">
      <c r="A68" s="36" t="n"/>
      <c r="B68" s="23" t="n"/>
      <c r="C68" s="37" t="n"/>
      <c r="D68" s="23" t="n"/>
    </row>
    <row r="69" ht="15.75" customHeight="1" s="38">
      <c r="A69" s="36" t="n"/>
      <c r="B69" s="23" t="n"/>
      <c r="C69" s="37" t="n"/>
      <c r="D69" s="23" t="n"/>
    </row>
    <row r="70" ht="15.75" customHeight="1" s="38">
      <c r="A70" s="36" t="n"/>
      <c r="B70" s="23" t="n"/>
      <c r="C70" s="37" t="n"/>
      <c r="D70" s="23" t="n"/>
    </row>
    <row r="71" ht="15.75" customHeight="1" s="38">
      <c r="A71" s="36" t="n"/>
      <c r="B71" s="23" t="n"/>
      <c r="C71" s="37" t="n"/>
      <c r="D71" s="23" t="n"/>
    </row>
    <row r="72" ht="15.75" customHeight="1" s="38">
      <c r="A72" s="36" t="n"/>
      <c r="B72" s="23" t="n"/>
      <c r="C72" s="37" t="n"/>
      <c r="D72" s="23" t="n"/>
    </row>
    <row r="73" ht="15.75" customHeight="1" s="38">
      <c r="A73" s="36" t="n"/>
      <c r="B73" s="23" t="n"/>
      <c r="C73" s="37" t="n"/>
      <c r="D73" s="23" t="n"/>
    </row>
    <row r="74" ht="15.75" customHeight="1" s="38">
      <c r="A74" s="36" t="n"/>
      <c r="B74" s="23" t="n"/>
      <c r="C74" s="37" t="n"/>
      <c r="D74" s="23" t="n"/>
    </row>
    <row r="75" ht="15.75" customHeight="1" s="38">
      <c r="A75" s="36" t="n"/>
      <c r="B75" s="23" t="n"/>
      <c r="C75" s="37" t="n"/>
      <c r="D75" s="23" t="n"/>
    </row>
    <row r="76" ht="15.75" customHeight="1" s="38">
      <c r="A76" s="36" t="n"/>
      <c r="B76" s="23" t="n"/>
      <c r="C76" s="37" t="n"/>
      <c r="D76" s="23" t="n"/>
    </row>
    <row r="77" ht="15.75" customHeight="1" s="38">
      <c r="A77" s="36" t="n"/>
      <c r="B77" s="23" t="n"/>
      <c r="C77" s="37" t="n"/>
      <c r="D77" s="23" t="n"/>
    </row>
    <row r="78" ht="15.75" customHeight="1" s="38">
      <c r="A78" s="36" t="n"/>
      <c r="B78" s="23" t="n"/>
      <c r="C78" s="37" t="n"/>
      <c r="D78" s="23" t="n"/>
    </row>
    <row r="79" ht="15.75" customHeight="1" s="38">
      <c r="A79" s="36" t="n"/>
      <c r="B79" s="23" t="n"/>
      <c r="C79" s="37" t="n"/>
      <c r="D79" s="23" t="n"/>
    </row>
    <row r="80" ht="15.75" customHeight="1" s="38">
      <c r="A80" s="36" t="n"/>
      <c r="B80" s="23" t="n"/>
      <c r="C80" s="37" t="n"/>
      <c r="D80" s="23" t="n"/>
    </row>
    <row r="81" ht="15.75" customHeight="1" s="38">
      <c r="A81" s="36" t="n"/>
      <c r="B81" s="23" t="n"/>
      <c r="C81" s="37" t="n"/>
      <c r="D81" s="23" t="n"/>
    </row>
    <row r="82" ht="15.75" customHeight="1" s="38">
      <c r="A82" s="36" t="n"/>
      <c r="B82" s="23" t="n"/>
      <c r="C82" s="37" t="n"/>
      <c r="D82" s="23" t="n"/>
    </row>
    <row r="83" ht="15.75" customHeight="1" s="38">
      <c r="A83" s="36" t="n"/>
      <c r="B83" s="23" t="n"/>
      <c r="C83" s="37" t="n"/>
      <c r="D83" s="23" t="n"/>
    </row>
    <row r="84" ht="15.75" customHeight="1" s="38">
      <c r="A84" s="36" t="n"/>
      <c r="B84" s="23" t="n"/>
      <c r="C84" s="37" t="n"/>
      <c r="D84" s="23" t="n"/>
    </row>
    <row r="85" ht="15.75" customHeight="1" s="38">
      <c r="A85" s="36" t="n"/>
      <c r="B85" s="23" t="n"/>
      <c r="C85" s="37" t="n"/>
      <c r="D85" s="23" t="n"/>
    </row>
    <row r="86" ht="15.75" customHeight="1" s="38">
      <c r="A86" s="36" t="n"/>
      <c r="B86" s="23" t="n"/>
      <c r="C86" s="37" t="n"/>
      <c r="D86" s="23" t="n"/>
    </row>
    <row r="87" ht="15.75" customHeight="1" s="38">
      <c r="A87" s="36" t="n"/>
      <c r="B87" s="23" t="n"/>
      <c r="C87" s="37" t="n"/>
      <c r="D87" s="23" t="n"/>
    </row>
    <row r="88" ht="15.75" customHeight="1" s="38">
      <c r="A88" s="36" t="n"/>
      <c r="B88" s="23" t="n"/>
      <c r="C88" s="37" t="n"/>
      <c r="D88" s="23" t="n"/>
    </row>
    <row r="89" ht="15.75" customHeight="1" s="38">
      <c r="A89" s="36" t="n"/>
      <c r="B89" s="23" t="n"/>
      <c r="C89" s="37" t="n"/>
      <c r="D89" s="23" t="n"/>
    </row>
    <row r="90" ht="15.75" customHeight="1" s="38">
      <c r="A90" s="36" t="n"/>
      <c r="B90" s="23" t="n"/>
      <c r="C90" s="37" t="n"/>
      <c r="D90" s="23" t="n"/>
    </row>
    <row r="91" ht="15.75" customHeight="1" s="38">
      <c r="A91" s="36" t="n"/>
      <c r="B91" s="23" t="n"/>
      <c r="C91" s="37" t="n"/>
      <c r="D91" s="23" t="n"/>
    </row>
    <row r="92" ht="15.75" customHeight="1" s="38">
      <c r="A92" s="36" t="n"/>
      <c r="B92" s="23" t="n"/>
      <c r="C92" s="37" t="n"/>
      <c r="D92" s="23" t="n"/>
    </row>
    <row r="93" ht="15.75" customHeight="1" s="38">
      <c r="A93" s="36" t="n"/>
      <c r="B93" s="23" t="n"/>
      <c r="C93" s="37" t="n"/>
      <c r="D93" s="23" t="n"/>
    </row>
    <row r="94" ht="15.75" customHeight="1" s="38">
      <c r="A94" s="36" t="n"/>
      <c r="B94" s="23" t="n"/>
      <c r="C94" s="37" t="n"/>
      <c r="D94" s="23" t="n"/>
    </row>
    <row r="95" ht="15.75" customHeight="1" s="38">
      <c r="A95" s="36" t="n"/>
      <c r="B95" s="23" t="n"/>
      <c r="C95" s="37" t="n"/>
      <c r="D95" s="23" t="n"/>
    </row>
    <row r="96" ht="15.75" customHeight="1" s="38">
      <c r="A96" s="36" t="n"/>
      <c r="B96" s="23" t="n"/>
      <c r="C96" s="37" t="n"/>
      <c r="D96" s="23" t="n"/>
    </row>
    <row r="97" ht="15.75" customHeight="1" s="38">
      <c r="A97" s="36" t="n"/>
      <c r="B97" s="23" t="n"/>
      <c r="C97" s="37" t="n"/>
      <c r="D97" s="23" t="n"/>
    </row>
    <row r="98" ht="15.75" customHeight="1" s="38">
      <c r="A98" s="36" t="n"/>
      <c r="B98" s="23" t="n"/>
      <c r="C98" s="37" t="n"/>
      <c r="D98" s="23" t="n"/>
    </row>
    <row r="99" ht="15.75" customHeight="1" s="38">
      <c r="A99" s="36" t="n"/>
      <c r="B99" s="23" t="n"/>
      <c r="C99" s="37" t="n"/>
      <c r="D99" s="23" t="n"/>
    </row>
    <row r="100" ht="15.75" customHeight="1" s="38">
      <c r="A100" s="36" t="n"/>
      <c r="B100" s="23" t="n"/>
      <c r="C100" s="37" t="n"/>
      <c r="D100" s="23" t="n"/>
    </row>
    <row r="101" ht="15.75" customHeight="1" s="38">
      <c r="A101" s="36" t="n"/>
      <c r="B101" s="23" t="n"/>
      <c r="C101" s="37" t="n"/>
      <c r="D101" s="23" t="n"/>
    </row>
    <row r="102" ht="15.75" customHeight="1" s="38">
      <c r="A102" s="36" t="n"/>
      <c r="B102" s="23" t="n"/>
      <c r="C102" s="37" t="n"/>
      <c r="D102" s="23" t="n"/>
    </row>
    <row r="103" ht="15.75" customHeight="1" s="38">
      <c r="A103" s="36" t="n"/>
      <c r="B103" s="23" t="n"/>
      <c r="C103" s="37" t="n"/>
      <c r="D103" s="23" t="n"/>
    </row>
    <row r="104" ht="15.75" customHeight="1" s="38">
      <c r="A104" s="36" t="n"/>
      <c r="B104" s="23" t="n"/>
      <c r="C104" s="37" t="n"/>
      <c r="D104" s="23" t="n"/>
    </row>
    <row r="105" ht="15.75" customHeight="1" s="38">
      <c r="A105" s="36" t="n"/>
      <c r="B105" s="23" t="n"/>
      <c r="C105" s="37" t="n"/>
      <c r="D105" s="23" t="n"/>
    </row>
    <row r="106" ht="15.75" customHeight="1" s="38">
      <c r="A106" s="36" t="n"/>
      <c r="B106" s="23" t="n"/>
      <c r="C106" s="37" t="n"/>
      <c r="D106" s="23" t="n"/>
    </row>
    <row r="107" ht="15.75" customHeight="1" s="38">
      <c r="A107" s="36" t="n"/>
      <c r="B107" s="23" t="n"/>
      <c r="C107" s="37" t="n"/>
      <c r="D107" s="23" t="n"/>
    </row>
    <row r="108" ht="15.75" customHeight="1" s="38">
      <c r="A108" s="36" t="n"/>
      <c r="B108" s="23" t="n"/>
      <c r="C108" s="37" t="n"/>
      <c r="D108" s="23" t="n"/>
    </row>
    <row r="109" ht="15.75" customHeight="1" s="38">
      <c r="A109" s="36" t="n"/>
      <c r="B109" s="23" t="n"/>
      <c r="C109" s="37" t="n"/>
      <c r="D109" s="23" t="n"/>
    </row>
    <row r="110" ht="15.75" customHeight="1" s="38">
      <c r="A110" s="36" t="n"/>
      <c r="B110" s="23" t="n"/>
      <c r="C110" s="37" t="n"/>
      <c r="D110" s="23" t="n"/>
    </row>
    <row r="111" ht="15.75" customHeight="1" s="38">
      <c r="A111" s="36" t="n"/>
      <c r="B111" s="23" t="n"/>
      <c r="C111" s="37" t="n"/>
      <c r="D111" s="23" t="n"/>
    </row>
    <row r="112" ht="15.75" customHeight="1" s="38">
      <c r="A112" s="36" t="n"/>
      <c r="B112" s="23" t="n"/>
      <c r="C112" s="37" t="n"/>
      <c r="D112" s="23" t="n"/>
    </row>
    <row r="113" ht="15.75" customHeight="1" s="38">
      <c r="A113" s="36" t="n"/>
      <c r="B113" s="23" t="n"/>
      <c r="C113" s="37" t="n"/>
      <c r="D113" s="23" t="n"/>
    </row>
    <row r="114" ht="15.75" customHeight="1" s="38">
      <c r="A114" s="36" t="n"/>
      <c r="B114" s="23" t="n"/>
      <c r="C114" s="37" t="n"/>
      <c r="D114" s="23" t="n"/>
    </row>
    <row r="115" ht="15.75" customHeight="1" s="38">
      <c r="A115" s="36" t="n"/>
      <c r="B115" s="23" t="n"/>
      <c r="C115" s="37" t="n"/>
      <c r="D115" s="23" t="n"/>
    </row>
    <row r="116" ht="15.75" customHeight="1" s="38">
      <c r="A116" s="36" t="n"/>
      <c r="B116" s="23" t="n"/>
      <c r="C116" s="37" t="n"/>
      <c r="D116" s="23" t="n"/>
    </row>
    <row r="117" ht="15.75" customHeight="1" s="38">
      <c r="A117" s="36" t="n"/>
      <c r="B117" s="23" t="n"/>
      <c r="C117" s="37" t="n"/>
      <c r="D117" s="23" t="n"/>
    </row>
    <row r="118" ht="15.75" customHeight="1" s="38">
      <c r="A118" s="36" t="n"/>
      <c r="B118" s="23" t="n"/>
      <c r="C118" s="37" t="n"/>
      <c r="D118" s="23" t="n"/>
    </row>
    <row r="119" ht="15.75" customHeight="1" s="38">
      <c r="A119" s="36" t="n"/>
      <c r="B119" s="23" t="n"/>
      <c r="C119" s="37" t="n"/>
      <c r="D119" s="23" t="n"/>
    </row>
    <row r="120" ht="15.75" customHeight="1" s="38">
      <c r="A120" s="36" t="n"/>
      <c r="B120" s="23" t="n"/>
      <c r="C120" s="37" t="n"/>
      <c r="D120" s="23" t="n"/>
    </row>
    <row r="121" ht="15.75" customHeight="1" s="38">
      <c r="A121" s="36" t="n"/>
      <c r="B121" s="23" t="n"/>
      <c r="C121" s="37" t="n"/>
      <c r="D121" s="23" t="n"/>
    </row>
    <row r="122" ht="15.75" customHeight="1" s="38">
      <c r="A122" s="36" t="n"/>
      <c r="B122" s="23" t="n"/>
      <c r="C122" s="37" t="n"/>
      <c r="D122" s="23" t="n"/>
    </row>
    <row r="123" ht="15.75" customHeight="1" s="38">
      <c r="A123" s="36" t="n"/>
      <c r="B123" s="23" t="n"/>
      <c r="C123" s="37" t="n"/>
      <c r="D123" s="23" t="n"/>
    </row>
    <row r="124" ht="15.75" customHeight="1" s="38">
      <c r="A124" s="36" t="n"/>
      <c r="B124" s="23" t="n"/>
      <c r="C124" s="37" t="n"/>
      <c r="D124" s="23" t="n"/>
    </row>
    <row r="125" ht="15.75" customHeight="1" s="38">
      <c r="A125" s="36" t="n"/>
      <c r="B125" s="23" t="n"/>
      <c r="C125" s="37" t="n"/>
      <c r="D125" s="23" t="n"/>
    </row>
    <row r="126" ht="15.75" customHeight="1" s="38">
      <c r="A126" s="36" t="n"/>
      <c r="B126" s="23" t="n"/>
      <c r="C126" s="37" t="n"/>
      <c r="D126" s="23" t="n"/>
    </row>
    <row r="127" ht="15.75" customHeight="1" s="38">
      <c r="A127" s="36" t="n"/>
      <c r="B127" s="23" t="n"/>
      <c r="C127" s="37" t="n"/>
      <c r="D127" s="23" t="n"/>
    </row>
    <row r="128" ht="15.75" customHeight="1" s="38">
      <c r="A128" s="36" t="n"/>
      <c r="B128" s="23" t="n"/>
      <c r="C128" s="37" t="n"/>
      <c r="D128" s="23" t="n"/>
    </row>
    <row r="129" ht="15.75" customHeight="1" s="38">
      <c r="A129" s="36" t="n"/>
      <c r="B129" s="23" t="n"/>
      <c r="C129" s="37" t="n"/>
      <c r="D129" s="23" t="n"/>
    </row>
    <row r="130" ht="15.75" customHeight="1" s="38">
      <c r="A130" s="36" t="n"/>
      <c r="B130" s="23" t="n"/>
      <c r="C130" s="37" t="n"/>
      <c r="D130" s="23" t="n"/>
    </row>
    <row r="131" ht="15.75" customHeight="1" s="38">
      <c r="A131" s="36" t="n"/>
      <c r="B131" s="23" t="n"/>
      <c r="C131" s="37" t="n"/>
      <c r="D131" s="23" t="n"/>
    </row>
    <row r="132" ht="15.75" customHeight="1" s="38">
      <c r="A132" s="36" t="n"/>
      <c r="B132" s="23" t="n"/>
      <c r="C132" s="37" t="n"/>
      <c r="D132" s="23" t="n"/>
    </row>
    <row r="133" ht="15.75" customHeight="1" s="38">
      <c r="A133" s="36" t="n"/>
      <c r="B133" s="23" t="n"/>
      <c r="C133" s="37" t="n"/>
      <c r="D133" s="23" t="n"/>
    </row>
    <row r="134" ht="15.75" customHeight="1" s="38">
      <c r="A134" s="36" t="n"/>
      <c r="B134" s="23" t="n"/>
      <c r="C134" s="37" t="n"/>
      <c r="D134" s="23" t="n"/>
    </row>
    <row r="135" ht="15.75" customHeight="1" s="38">
      <c r="A135" s="36" t="n"/>
      <c r="B135" s="23" t="n"/>
      <c r="C135" s="37" t="n"/>
      <c r="D135" s="23" t="n"/>
    </row>
    <row r="136" ht="15.75" customHeight="1" s="38">
      <c r="A136" s="36" t="n"/>
      <c r="B136" s="23" t="n"/>
      <c r="C136" s="37" t="n"/>
      <c r="D136" s="23" t="n"/>
    </row>
    <row r="137" ht="15.75" customHeight="1" s="38">
      <c r="A137" s="36" t="n"/>
      <c r="B137" s="23" t="n"/>
      <c r="C137" s="37" t="n"/>
      <c r="D137" s="23" t="n"/>
    </row>
    <row r="138" ht="15.75" customHeight="1" s="38">
      <c r="A138" s="36" t="n"/>
      <c r="B138" s="23" t="n"/>
      <c r="C138" s="37" t="n"/>
      <c r="D138" s="23" t="n"/>
    </row>
    <row r="139" ht="15.75" customHeight="1" s="38">
      <c r="A139" s="36" t="n"/>
      <c r="B139" s="23" t="n"/>
      <c r="C139" s="37" t="n"/>
      <c r="D139" s="23" t="n"/>
    </row>
    <row r="140" ht="15.75" customHeight="1" s="38">
      <c r="A140" s="36" t="n"/>
      <c r="B140" s="23" t="n"/>
      <c r="C140" s="37" t="n"/>
      <c r="D140" s="23" t="n"/>
    </row>
    <row r="141" ht="15.75" customHeight="1" s="38">
      <c r="A141" s="36" t="n"/>
      <c r="B141" s="23" t="n"/>
      <c r="C141" s="37" t="n"/>
      <c r="D141" s="23" t="n"/>
    </row>
    <row r="142" ht="15.75" customHeight="1" s="38">
      <c r="A142" s="36" t="n"/>
      <c r="B142" s="23" t="n"/>
      <c r="C142" s="37" t="n"/>
      <c r="D142" s="23" t="n"/>
    </row>
    <row r="143" ht="15.75" customHeight="1" s="38">
      <c r="A143" s="36" t="n"/>
      <c r="B143" s="23" t="n"/>
      <c r="C143" s="37" t="n"/>
      <c r="D143" s="23" t="n"/>
    </row>
    <row r="144" ht="15.75" customHeight="1" s="38">
      <c r="A144" s="36" t="n"/>
      <c r="B144" s="23" t="n"/>
      <c r="C144" s="37" t="n"/>
      <c r="D144" s="23" t="n"/>
    </row>
    <row r="145" ht="15.75" customHeight="1" s="38">
      <c r="A145" s="36" t="n"/>
      <c r="B145" s="23" t="n"/>
      <c r="C145" s="37" t="n"/>
      <c r="D145" s="23" t="n"/>
    </row>
    <row r="146" ht="15.75" customHeight="1" s="38">
      <c r="A146" s="36" t="n"/>
      <c r="B146" s="23" t="n"/>
      <c r="C146" s="37" t="n"/>
      <c r="D146" s="23" t="n"/>
    </row>
    <row r="147" ht="15.75" customHeight="1" s="38">
      <c r="A147" s="36" t="n"/>
      <c r="B147" s="23" t="n"/>
      <c r="C147" s="37" t="n"/>
      <c r="D147" s="23" t="n"/>
    </row>
    <row r="148" ht="15.75" customHeight="1" s="38">
      <c r="A148" s="36" t="n"/>
      <c r="B148" s="23" t="n"/>
      <c r="C148" s="37" t="n"/>
      <c r="D148" s="23" t="n"/>
    </row>
    <row r="149" ht="15.75" customHeight="1" s="38">
      <c r="A149" s="36" t="n"/>
      <c r="B149" s="23" t="n"/>
      <c r="C149" s="37" t="n"/>
      <c r="D149" s="23" t="n"/>
    </row>
    <row r="150" ht="15.75" customHeight="1" s="38">
      <c r="A150" s="36" t="n"/>
      <c r="B150" s="23" t="n"/>
      <c r="C150" s="37" t="n"/>
      <c r="D150" s="23" t="n"/>
    </row>
    <row r="151" ht="15.75" customHeight="1" s="38">
      <c r="A151" s="36" t="n"/>
      <c r="B151" s="23" t="n"/>
      <c r="C151" s="37" t="n"/>
      <c r="D151" s="23" t="n"/>
    </row>
    <row r="152" ht="15.75" customHeight="1" s="38">
      <c r="A152" s="36" t="n"/>
      <c r="B152" s="23" t="n"/>
      <c r="C152" s="37" t="n"/>
      <c r="D152" s="23" t="n"/>
    </row>
    <row r="153" ht="15.75" customHeight="1" s="38">
      <c r="A153" s="36" t="n"/>
      <c r="B153" s="23" t="n"/>
      <c r="C153" s="37" t="n"/>
      <c r="D153" s="23" t="n"/>
    </row>
    <row r="154" ht="15.75" customHeight="1" s="38">
      <c r="A154" s="36" t="n"/>
      <c r="B154" s="23" t="n"/>
      <c r="C154" s="37" t="n"/>
      <c r="D154" s="23" t="n"/>
    </row>
    <row r="155" ht="15.75" customHeight="1" s="38">
      <c r="A155" s="36" t="n"/>
      <c r="B155" s="23" t="n"/>
      <c r="C155" s="37" t="n"/>
      <c r="D155" s="23" t="n"/>
    </row>
    <row r="156" ht="15.75" customHeight="1" s="38">
      <c r="A156" s="36" t="n"/>
      <c r="B156" s="23" t="n"/>
      <c r="C156" s="37" t="n"/>
      <c r="D156" s="23" t="n"/>
    </row>
    <row r="157" ht="15.75" customHeight="1" s="38">
      <c r="A157" s="36" t="n"/>
      <c r="B157" s="23" t="n"/>
      <c r="C157" s="37" t="n"/>
      <c r="D157" s="23" t="n"/>
    </row>
    <row r="158" ht="15.75" customHeight="1" s="38">
      <c r="A158" s="36" t="n"/>
      <c r="B158" s="23" t="n"/>
      <c r="C158" s="37" t="n"/>
      <c r="D158" s="23" t="n"/>
    </row>
    <row r="159" ht="15.75" customHeight="1" s="38">
      <c r="A159" s="36" t="n"/>
      <c r="B159" s="23" t="n"/>
      <c r="C159" s="37" t="n"/>
      <c r="D159" s="23" t="n"/>
    </row>
    <row r="160" ht="15.75" customHeight="1" s="38">
      <c r="A160" s="36" t="n"/>
      <c r="B160" s="23" t="n"/>
      <c r="C160" s="37" t="n"/>
      <c r="D160" s="23" t="n"/>
    </row>
    <row r="161" ht="15.75" customHeight="1" s="38">
      <c r="A161" s="36" t="n"/>
      <c r="B161" s="23" t="n"/>
      <c r="C161" s="37" t="n"/>
      <c r="D161" s="23" t="n"/>
    </row>
    <row r="162" ht="15.75" customHeight="1" s="38">
      <c r="A162" s="36" t="n"/>
      <c r="B162" s="23" t="n"/>
      <c r="C162" s="37" t="n"/>
      <c r="D162" s="23" t="n"/>
    </row>
    <row r="163" ht="15.75" customHeight="1" s="38">
      <c r="A163" s="36" t="n"/>
      <c r="B163" s="23" t="n"/>
      <c r="C163" s="37" t="n"/>
      <c r="D163" s="23" t="n"/>
    </row>
    <row r="164" ht="15.75" customHeight="1" s="38">
      <c r="A164" s="36" t="n"/>
      <c r="B164" s="23" t="n"/>
      <c r="C164" s="37" t="n"/>
      <c r="D164" s="23" t="n"/>
    </row>
    <row r="165" ht="15.75" customHeight="1" s="38">
      <c r="A165" s="36" t="n"/>
      <c r="B165" s="23" t="n"/>
      <c r="C165" s="37" t="n"/>
      <c r="D165" s="23" t="n"/>
    </row>
    <row r="166" ht="15.75" customHeight="1" s="38">
      <c r="A166" s="36" t="n"/>
      <c r="B166" s="23" t="n"/>
      <c r="C166" s="37" t="n"/>
      <c r="D166" s="23" t="n"/>
    </row>
    <row r="167" ht="15.75" customHeight="1" s="38">
      <c r="A167" s="36" t="n"/>
      <c r="B167" s="23" t="n"/>
      <c r="C167" s="37" t="n"/>
      <c r="D167" s="23" t="n"/>
    </row>
    <row r="168" ht="15.75" customHeight="1" s="38">
      <c r="A168" s="36" t="n"/>
      <c r="B168" s="23" t="n"/>
      <c r="C168" s="37" t="n"/>
      <c r="D168" s="23" t="n"/>
    </row>
    <row r="169" ht="15.75" customHeight="1" s="38">
      <c r="A169" s="36" t="n"/>
      <c r="B169" s="23" t="n"/>
      <c r="C169" s="37" t="n"/>
      <c r="D169" s="23" t="n"/>
    </row>
    <row r="170" ht="15.75" customHeight="1" s="38">
      <c r="A170" s="36" t="n"/>
      <c r="B170" s="23" t="n"/>
      <c r="C170" s="37" t="n"/>
      <c r="D170" s="23" t="n"/>
    </row>
    <row r="171" ht="15.75" customHeight="1" s="38">
      <c r="A171" s="36" t="n"/>
      <c r="B171" s="23" t="n"/>
      <c r="C171" s="37" t="n"/>
      <c r="D171" s="23" t="n"/>
    </row>
    <row r="172" ht="15.75" customHeight="1" s="38">
      <c r="A172" s="36" t="n"/>
      <c r="B172" s="23" t="n"/>
      <c r="C172" s="37" t="n"/>
      <c r="D172" s="23" t="n"/>
    </row>
    <row r="173" ht="15.75" customHeight="1" s="38">
      <c r="A173" s="36" t="n"/>
      <c r="B173" s="23" t="n"/>
      <c r="C173" s="37" t="n"/>
      <c r="D173" s="23" t="n"/>
    </row>
    <row r="174" ht="15.75" customHeight="1" s="38">
      <c r="A174" s="36" t="n"/>
      <c r="B174" s="23" t="n"/>
      <c r="C174" s="37" t="n"/>
      <c r="D174" s="23" t="n"/>
    </row>
    <row r="175" ht="15.75" customHeight="1" s="38">
      <c r="A175" s="36" t="n"/>
      <c r="B175" s="23" t="n"/>
      <c r="C175" s="37" t="n"/>
      <c r="D175" s="23" t="n"/>
    </row>
    <row r="176" ht="15.75" customHeight="1" s="38">
      <c r="A176" s="36" t="n"/>
      <c r="B176" s="23" t="n"/>
      <c r="C176" s="37" t="n"/>
      <c r="D176" s="23" t="n"/>
    </row>
    <row r="177" ht="15.75" customHeight="1" s="38">
      <c r="A177" s="36" t="n"/>
      <c r="B177" s="23" t="n"/>
      <c r="C177" s="37" t="n"/>
      <c r="D177" s="23" t="n"/>
    </row>
    <row r="178" ht="15.75" customHeight="1" s="38">
      <c r="A178" s="36" t="n"/>
      <c r="B178" s="23" t="n"/>
      <c r="C178" s="37" t="n"/>
      <c r="D178" s="23" t="n"/>
    </row>
    <row r="179" ht="15.75" customHeight="1" s="38">
      <c r="A179" s="36" t="n"/>
      <c r="B179" s="23" t="n"/>
      <c r="C179" s="37" t="n"/>
      <c r="D179" s="23" t="n"/>
    </row>
    <row r="180" ht="15.75" customHeight="1" s="38">
      <c r="A180" s="36" t="n"/>
      <c r="B180" s="23" t="n"/>
      <c r="C180" s="37" t="n"/>
      <c r="D180" s="23" t="n"/>
    </row>
    <row r="181" ht="15.75" customHeight="1" s="38">
      <c r="A181" s="36" t="n"/>
      <c r="B181" s="23" t="n"/>
      <c r="C181" s="37" t="n"/>
      <c r="D181" s="23" t="n"/>
    </row>
    <row r="182" ht="15.75" customHeight="1" s="38">
      <c r="A182" s="36" t="n"/>
      <c r="B182" s="23" t="n"/>
      <c r="C182" s="37" t="n"/>
      <c r="D182" s="23" t="n"/>
    </row>
    <row r="183" ht="15.75" customHeight="1" s="38">
      <c r="A183" s="36" t="n"/>
      <c r="B183" s="23" t="n"/>
      <c r="C183" s="37" t="n"/>
      <c r="D183" s="23" t="n"/>
    </row>
    <row r="184" ht="15.75" customHeight="1" s="38">
      <c r="A184" s="36" t="n"/>
      <c r="B184" s="23" t="n"/>
      <c r="C184" s="37" t="n"/>
      <c r="D184" s="23" t="n"/>
    </row>
    <row r="185" ht="15.75" customHeight="1" s="38">
      <c r="A185" s="36" t="n"/>
      <c r="B185" s="23" t="n"/>
      <c r="C185" s="37" t="n"/>
      <c r="D185" s="23" t="n"/>
    </row>
    <row r="186" ht="15.75" customHeight="1" s="38">
      <c r="A186" s="36" t="n"/>
      <c r="B186" s="23" t="n"/>
      <c r="C186" s="37" t="n"/>
      <c r="D186" s="23" t="n"/>
    </row>
    <row r="187" ht="15.75" customHeight="1" s="38">
      <c r="A187" s="36" t="n"/>
      <c r="B187" s="23" t="n"/>
      <c r="C187" s="37" t="n"/>
      <c r="D187" s="23" t="n"/>
    </row>
    <row r="188" ht="15.75" customHeight="1" s="38">
      <c r="A188" s="36" t="n"/>
      <c r="B188" s="23" t="n"/>
      <c r="C188" s="37" t="n"/>
      <c r="D188" s="23" t="n"/>
    </row>
    <row r="189" ht="15.75" customHeight="1" s="38">
      <c r="A189" s="36" t="n"/>
      <c r="B189" s="23" t="n"/>
      <c r="C189" s="37" t="n"/>
      <c r="D189" s="23" t="n"/>
    </row>
    <row r="190" ht="15.75" customHeight="1" s="38">
      <c r="A190" s="36" t="n"/>
      <c r="B190" s="23" t="n"/>
      <c r="C190" s="37" t="n"/>
      <c r="D190" s="23" t="n"/>
    </row>
    <row r="191" ht="15.75" customHeight="1" s="38">
      <c r="A191" s="36" t="n"/>
      <c r="B191" s="23" t="n"/>
      <c r="C191" s="37" t="n"/>
      <c r="D191" s="23" t="n"/>
    </row>
    <row r="192" ht="15.75" customHeight="1" s="38">
      <c r="A192" s="36" t="n"/>
      <c r="B192" s="23" t="n"/>
      <c r="C192" s="37" t="n"/>
      <c r="D192" s="23" t="n"/>
    </row>
    <row r="193" ht="15.75" customHeight="1" s="38">
      <c r="A193" s="36" t="n"/>
      <c r="B193" s="23" t="n"/>
      <c r="C193" s="37" t="n"/>
      <c r="D193" s="23" t="n"/>
    </row>
    <row r="194" ht="15.75" customHeight="1" s="38">
      <c r="A194" s="36" t="n"/>
      <c r="B194" s="23" t="n"/>
      <c r="C194" s="37" t="n"/>
      <c r="D194" s="23" t="n"/>
    </row>
    <row r="195" ht="15.75" customHeight="1" s="38">
      <c r="A195" s="36" t="n"/>
      <c r="B195" s="23" t="n"/>
      <c r="C195" s="37" t="n"/>
      <c r="D195" s="23" t="n"/>
    </row>
    <row r="196" ht="15.75" customHeight="1" s="38">
      <c r="A196" s="36" t="n"/>
      <c r="B196" s="23" t="n"/>
      <c r="C196" s="37" t="n"/>
      <c r="D196" s="23" t="n"/>
    </row>
    <row r="197" ht="15.75" customHeight="1" s="38">
      <c r="A197" s="36" t="n"/>
      <c r="B197" s="23" t="n"/>
      <c r="C197" s="37" t="n"/>
      <c r="D197" s="23" t="n"/>
    </row>
    <row r="198" ht="15.75" customHeight="1" s="38">
      <c r="A198" s="36" t="n"/>
      <c r="B198" s="23" t="n"/>
      <c r="C198" s="37" t="n"/>
      <c r="D198" s="23" t="n"/>
    </row>
    <row r="199" ht="15.75" customHeight="1" s="38">
      <c r="A199" s="36" t="n"/>
      <c r="B199" s="23" t="n"/>
      <c r="C199" s="37" t="n"/>
      <c r="D199" s="23" t="n"/>
    </row>
    <row r="200" ht="15.75" customHeight="1" s="38">
      <c r="A200" s="36" t="n"/>
      <c r="B200" s="23" t="n"/>
      <c r="C200" s="37" t="n"/>
      <c r="D200" s="23" t="n"/>
    </row>
    <row r="201" ht="15.75" customHeight="1" s="38">
      <c r="A201" s="36" t="n"/>
      <c r="B201" s="23" t="n"/>
      <c r="C201" s="37" t="n"/>
      <c r="D201" s="23" t="n"/>
    </row>
    <row r="202" ht="15.75" customHeight="1" s="38">
      <c r="A202" s="36" t="n"/>
      <c r="B202" s="23" t="n"/>
      <c r="C202" s="37" t="n"/>
      <c r="D202" s="23" t="n"/>
    </row>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dataValidations count="1">
    <dataValidation sqref="B3:B202" showDropDown="0" showInputMessage="0" showErrorMessage="0" allowBlank="1" type="list">
      <formula1>Roster</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2026-09-03T22:14:05Z</dcterms:created>
  <dcterms:modified xsi:type="dcterms:W3CDTF">2026-09-04T07:01:16Z</dcterms:modified>
</cp:coreProperties>
</file>