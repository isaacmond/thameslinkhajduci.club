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S1" sheetId="2" r:id="rId6"/>
    <sheet state="visible" name="S2" sheetId="3" r:id="rId7"/>
    <sheet state="visible" name="S3" sheetId="4" r:id="rId8"/>
    <sheet state="visible" name="S4" sheetId="5" r:id="rId9"/>
    <sheet state="visible" name="S5" sheetId="6" r:id="rId10"/>
    <sheet state="visible" name="S6" sheetId="7" r:id="rId11"/>
    <sheet state="visible" name="S7" sheetId="8" r:id="rId12"/>
    <sheet state="visible" name="S8" sheetId="9" r:id="rId13"/>
    <sheet state="visible" name="Season template" sheetId="10" r:id="rId14"/>
    <sheet state="visible" name="All-time" sheetId="11" r:id="rId15"/>
    <sheet state="visible" name="Money" sheetId="12" r:id="rId16"/>
    <sheet state="visible" name="Payments" sheetId="13" r:id="rId17"/>
  </sheets>
  <definedNames>
    <definedName name="Roster">'All-time'!$A$3:$A$30</definedName>
  </definedNames>
  <calcPr/>
</workbook>
</file>

<file path=xl/sharedStrings.xml><?xml version="1.0" encoding="utf-8"?>
<sst xmlns="http://schemas.openxmlformats.org/spreadsheetml/2006/main" count="1545" uniqueCount="209">
  <si>
    <t>THAMESLINK HAJDUCI — TEAM TRACKER</t>
  </si>
  <si>
    <t>HOW IT WORKS</t>
  </si>
  <si>
    <t>Each season lives on ONE tab (S1–S6, S8). Everything for that season — fixtures, results, appearances, goals, assists, costs — is on that tab.</t>
  </si>
  <si>
    <t>Aggregator tabs (All-time, Money) sit after the season tabs and update automatically.</t>
  </si>
  <si>
    <t>Yellow cells are the weekly inputs: Our goals, Their goals, Match cost. Grey cells are calculated — don’t type in them.</t>
  </si>
  <si>
    <t>LOGGING A GAME (on the season tab)</t>
  </si>
  <si>
    <t>1. Enter the score in the "Our goals" / "Their goals" rows (Score and W/D/L fill in automatically — this also permanently fixes the old problem of scores like 3-10 turning into dates).</t>
  </si>
  <si>
    <t>2. Put a 1 in the APPEARANCES grid for everyone who played.</t>
  </si>
  <si>
    <t>3. Enter goals/assists per player in the GOALS and ASSISTS grids.</t>
  </si>
  <si>
    <t>4. Enter the Match cost (£). It’s split evenly across that game’s players and lands on each player’s Cost (£) column and the Money tab.</t>
  </si>
  <si>
    <t>MONEY</t>
  </si>
  <si>
    <t>All seasons before Season 8 are settled, so player tabs start from S8. The Money tab shows what each player has been charged (from the season tabs), what they’ve paid (from the Payments tab), and the balance they owe.</t>
  </si>
  <si>
    <t>Record every transfer received on the Payments tab (date, player, amount). That’s it.</t>
  </si>
  <si>
    <t>Season 1 · Play5aside Hoxton (sand, 5-a-side) · Sep–Nov 2024</t>
  </si>
  <si>
    <t>Each season tab has a yellow "Paid by" cell (top right, under the season summary) — set it to whoever fronts that season’s fees. It shows automatically on the Money tab. Isaac Mond is paying for Season 8; every game costs £79.95.</t>
  </si>
  <si>
    <t>If a different person pays in a future season, balances mix creditors — read each season’s charges column against that season’s payer to settle up.</t>
  </si>
  <si>
    <t>ADDING A NEW SEASON (the easy bit)</t>
  </si>
  <si>
    <t>1. Right-click the "Season template" tab → Duplicate. Rename the copy exactly S9 (then S10, ...).</t>
  </si>
  <si>
    <t>2. Fill in dates/kick-offs/opponents across the top. Done.</t>
  </si>
  <si>
    <t>The All-time and Money tabs already have S9 and S10 columns wired up (they show 0 until the tab exists, then pick it up automatically). For S11 onwards: copy the last season’s column pair on All-time (and column on Money) one block to the right and type the new tab name in row 1.</t>
  </si>
  <si>
    <t>Season 2 · Powerleague Shoreditch (5G, 7-a-side) · Nov 2024–Jan 2025</t>
  </si>
  <si>
    <t>FIXES &amp; ASSUMPTIONS MADE IN THIS REBUILD</t>
  </si>
  <si>
    <t>• Dozens of scores had been auto-converted to dates (e.g. "3-10" → 3 Oct 2025). Restored as day-month; scores are assumed to read Us–Them. Two S4 scores were "??" in the source and stay blank.</t>
  </si>
  <si>
    <t>• Season 6 totals were UNDERCOUNTED in the old sheet (its subtotal only summed 8 of 14 gameweeks, for both apps and goals). All-time numbers here are higher than the old Total tab because they now include the full season.</t>
  </si>
  <si>
    <t>• S1 GW6 date was typed as 2026 → corrected to 16/10/2024.</t>
  </si>
  <si>
    <t>• S4, S5 and S6 missing dates were filled weekly from the sheet’s own recorded anchors (S5 includes the Christmas break). Note: the team app dates S4 one week earlier (26 Jun–25 Sep); the sheet’s anchors are trusted here.</t>
  </si>
  <si>
    <t>• S3’s 13 tracked columns are aligned to games 2–14 (GW1 was the forfeit, nobody played) — the app resolved which matches the columns belonged to; the marks themselves are the sheet’s.</t>
  </si>
  <si>
    <t>• "Robin Watson" = Robin; "Seb" = Seb Burgess. The sheet’s "Jake Ringer" appears in the app as two profiles ("Jake Hamilton" and "Jacob Hamilton") — his sheet name is kept and his S7 game is credited to him; worth merging the duplicates in the app.</t>
  </si>
  <si>
    <t>TEAM APP (thameslinkhajduci.lovable.app, pulled 31 Aug 2026) — SHEET TRUSTED, APP FILLS GAPS</t>
  </si>
  <si>
    <t>• Season 7 imported in full: 15 games (12 league + 1 friendly + forfeits), May–Aug 2026, with per-game apps and goals. The friendly vs Ref’s Mates and the forfeits are tagged in Comments and count in the totals.</t>
  </si>
  <si>
    <t>• All S1–S6 apps, goals and assists are the sheet’s own marks, verbatim. Where the app disagrees, the sheet wins: the app has Henry Linklater and Isaac Mond on 9 S1 apps (sheet: 8), Finn Cawley on 7 S3 apps (sheet: 5), and shuffles a few S1 games (George, Sam, Phil, Callum).</t>
  </si>
  <si>
    <t>• Score conflict, sheet kept: S1 GW5 vs Clapham Casuals is 1-2 here; the app records 2-1. Every other score agrees across both sources.</t>
  </si>
  <si>
    <t>• Missing appearance ticks implied by the sheet’s own goals/MOTMs were filled, confirmed by Isaac (31 Aug 2026): George Barbantan &amp; Sam Holt S1 GW6 (goals), Phil Knott S1 GW7 &amp; Neeraj Radia S1 GW9 (assists), Finn Cawley S2 GW4 (MOTM) and twice in S3 (goals).</t>
  </si>
  <si>
    <t>• S4: the sheet knows 3 games the app doesn’t (the “score not recorded” games at GW9/10/12) — the sheet’s appearance marks for them are kept, so S4 app-counts here are higher than on the site.</t>
  </si>
  <si>
    <t>Season 3 · PlayFootball Old Street (5G, 6-a-side) · Mar–Jun 2025</t>
  </si>
  <si>
    <t>• New player from S7: Ahmed. The sheet still holds what the app lacks: assists, MOTM, champagne moments, comments, costs and the S8 fixtures. The app additionally holds photos, nicknames, positions, shirt numbers and a gallery.</t>
  </si>
  <si>
    <t>• Friendlies AND forfeits are excluded from all records here (Isaac’s call, 31 Aug 2026), via the Type row: the S7 friendly vs Ref’s Mates, the S7 forfeits, the S3 GW1 walkover and the S5 GW8 forfeit. Their data stays visible in the grids but doesn’t count toward W/D/L, GF/GA or player totals.</t>
  </si>
  <si>
    <t>• The old wide Attendance/Goals/Assists tabs, per-season results tabs, broken-reference blocks and the accidental s8 tab were replaced by the per-season tabs (all data migrated). Stray "Not paid" notes on S6 g12–g14 were dropped since pre-S8 seasons are settled — shout if that’s wrong.</t>
  </si>
  <si>
    <t>• The old Rounds, Shirt number, 2025 snapshot and Season 1 invoice tabs (plus the broken wide tabs) were dropped — they live on in the original spreadsheet if ever needed.</t>
  </si>
  <si>
    <t>Season 8 fixtures loaded from playfootball.net (Whitechapel Tuesday 6’s, Premier League, "Season 2 2026") — 18 games, 1 Sep 2026 to 12 Jan 2027.</t>
  </si>
  <si>
    <t>Match</t>
  </si>
  <si>
    <t>GW1</t>
  </si>
  <si>
    <t>GW2</t>
  </si>
  <si>
    <t>GW3</t>
  </si>
  <si>
    <t>GW4</t>
  </si>
  <si>
    <t>GW5</t>
  </si>
  <si>
    <t>GW6</t>
  </si>
  <si>
    <t>GW7</t>
  </si>
  <si>
    <t>GW8</t>
  </si>
  <si>
    <t>GW9</t>
  </si>
  <si>
    <t>GW10</t>
  </si>
  <si>
    <t>GW11</t>
  </si>
  <si>
    <t>GW12</t>
  </si>
  <si>
    <t>GW13</t>
  </si>
  <si>
    <t>GW14</t>
  </si>
  <si>
    <t>GW15</t>
  </si>
  <si>
    <t>GW16</t>
  </si>
  <si>
    <t>GW17</t>
  </si>
  <si>
    <t>GW18</t>
  </si>
  <si>
    <t>GW19</t>
  </si>
  <si>
    <t>GW20</t>
  </si>
  <si>
    <t>SEASON SUMMARY</t>
  </si>
  <si>
    <t>Date</t>
  </si>
  <si>
    <t>Played</t>
  </si>
  <si>
    <t>Kick-off</t>
  </si>
  <si>
    <t>Won</t>
  </si>
  <si>
    <t>Opponent</t>
  </si>
  <si>
    <t>MBS</t>
  </si>
  <si>
    <t>Barkways Sisters</t>
  </si>
  <si>
    <t>Safe FC</t>
  </si>
  <si>
    <t>Hardly Athletic</t>
  </si>
  <si>
    <t>Clapham Casuals</t>
  </si>
  <si>
    <t>Dalston Eagles</t>
  </si>
  <si>
    <t>Mutus</t>
  </si>
  <si>
    <t>LCG United</t>
  </si>
  <si>
    <t>Drawn</t>
  </si>
  <si>
    <t>Brighton</t>
  </si>
  <si>
    <t>City ACS</t>
  </si>
  <si>
    <t>Dalston</t>
  </si>
  <si>
    <t>Our goals</t>
  </si>
  <si>
    <t>Lost</t>
  </si>
  <si>
    <t>Their goals</t>
  </si>
  <si>
    <t>Goals for</t>
  </si>
  <si>
    <t>Score</t>
  </si>
  <si>
    <t>Forfeit</t>
  </si>
  <si>
    <t>Enjoy your Mane Jane</t>
  </si>
  <si>
    <t>Dukes Select</t>
  </si>
  <si>
    <t>Dign Cats</t>
  </si>
  <si>
    <t>Old Ivy</t>
  </si>
  <si>
    <t>Green of the South</t>
  </si>
  <si>
    <t>The Britannias</t>
  </si>
  <si>
    <t>Spudos</t>
  </si>
  <si>
    <t>Ding cats</t>
  </si>
  <si>
    <t>Season 4 · PlayFootball Old Street (5G, 6-a-side) · Jul–Oct 2025</t>
  </si>
  <si>
    <t>Goals against</t>
  </si>
  <si>
    <t>Result</t>
  </si>
  <si>
    <t>Top scorer</t>
  </si>
  <si>
    <t>MOTM</t>
  </si>
  <si>
    <t>Isaac Mond</t>
  </si>
  <si>
    <t>Sam Holt</t>
  </si>
  <si>
    <t>Callum McCarthy</t>
  </si>
  <si>
    <t>Henry Linklater</t>
  </si>
  <si>
    <t>Phil Knott</t>
  </si>
  <si>
    <t>Andy Cowan</t>
  </si>
  <si>
    <t>Finn Cawley</t>
  </si>
  <si>
    <t>Max Cobain</t>
  </si>
  <si>
    <t>Most apps</t>
  </si>
  <si>
    <t>Champagne moment</t>
  </si>
  <si>
    <t>Season cost</t>
  </si>
  <si>
    <t>Abdul</t>
  </si>
  <si>
    <t>Ben Merrett</t>
  </si>
  <si>
    <t>Neeraj Radia</t>
  </si>
  <si>
    <t>Comments</t>
  </si>
  <si>
    <t>Phantom pullback</t>
  </si>
  <si>
    <t>"Anyone want to sub off"</t>
  </si>
  <si>
    <t>Tackled by his own teammate</t>
  </si>
  <si>
    <t>Shooting from kick off</t>
  </si>
  <si>
    <t>Claiming 4 assists</t>
  </si>
  <si>
    <t>5 yard freekick</t>
  </si>
  <si>
    <t>Paid by</t>
  </si>
  <si>
    <t>Ding Cats</t>
  </si>
  <si>
    <t>Spudos FC</t>
  </si>
  <si>
    <t>DingCats</t>
  </si>
  <si>
    <t>Match cost (£)</t>
  </si>
  <si>
    <t>Old ivy</t>
  </si>
  <si>
    <t>Enjoy your mane Jane</t>
  </si>
  <si>
    <t>Players in game</t>
  </si>
  <si>
    <t>Cost per player (£)</t>
  </si>
  <si>
    <t>Type (excl. from records)</t>
  </si>
  <si>
    <t>APPEARANCES (1 = played)</t>
  </si>
  <si>
    <t>Apps</t>
  </si>
  <si>
    <t>Cost (£)</t>
  </si>
  <si>
    <t>Ahmed</t>
  </si>
  <si>
    <t>Alex Ruben</t>
  </si>
  <si>
    <t>Cecil Watson</t>
  </si>
  <si>
    <t>Conall Templeman</t>
  </si>
  <si>
    <t>Eddie Ringer</t>
  </si>
  <si>
    <t>George Barbantan</t>
  </si>
  <si>
    <t>Jake Harrison</t>
  </si>
  <si>
    <t>Jake Ringer</t>
  </si>
  <si>
    <t>Keshav Singh</t>
  </si>
  <si>
    <t>Mark Pellowe</t>
  </si>
  <si>
    <t>Robin</t>
  </si>
  <si>
    <t>Seb Burgess</t>
  </si>
  <si>
    <t>Total</t>
  </si>
  <si>
    <t>score not recorded</t>
  </si>
  <si>
    <t>GOALS — number scored</t>
  </si>
  <si>
    <t>Goals</t>
  </si>
  <si>
    <t>ASSISTS — number made</t>
  </si>
  <si>
    <t>Assists</t>
  </si>
  <si>
    <t>Season 5 · PlayFootball Old Street (5G, 6-a-side) · Oct 2025–Feb 2026</t>
  </si>
  <si>
    <t>Not Very often</t>
  </si>
  <si>
    <t>britannias</t>
  </si>
  <si>
    <t>Dukes</t>
  </si>
  <si>
    <t>Enjoy</t>
  </si>
  <si>
    <t>Britannias</t>
  </si>
  <si>
    <t>Not very often</t>
  </si>
  <si>
    <t>Season 6 · PlayFootball Old Street (5G, 6-a-side) · Feb–May 2026</t>
  </si>
  <si>
    <t>Season 7 · PlayFootball Old Street (5G, 6-a-side) · May–Aug 2026 · imported from the team app</t>
  </si>
  <si>
    <t>Mane Jane</t>
  </si>
  <si>
    <t>MOB FC</t>
  </si>
  <si>
    <t>Cottesmore FC</t>
  </si>
  <si>
    <t>Vauban FC</t>
  </si>
  <si>
    <t>Old Ivy FC</t>
  </si>
  <si>
    <t>enjoy your mane</t>
  </si>
  <si>
    <t>Cottesmore</t>
  </si>
  <si>
    <t>Recessionary FC</t>
  </si>
  <si>
    <t>Ref's Mates</t>
  </si>
  <si>
    <t>XZR FC</t>
  </si>
  <si>
    <t>Oly Ivy</t>
  </si>
  <si>
    <t>Xzr Fc</t>
  </si>
  <si>
    <t>Friendly</t>
  </si>
  <si>
    <t>Season 8 · Whitechapel Tuesday 6’s — Premier League · Sep 2026–Jan 2027</t>
  </si>
  <si>
    <t>Spartak High Press, Low Standards</t>
  </si>
  <si>
    <t>Inter Islington</t>
  </si>
  <si>
    <t>TMHLR F.C.</t>
  </si>
  <si>
    <t>Heavy MWEtal Football</t>
  </si>
  <si>
    <t>Thundering Trunks</t>
  </si>
  <si>
    <t>Corsicans FC</t>
  </si>
  <si>
    <t>Monaco Goalkickers</t>
  </si>
  <si>
    <t>ABHUS FC</t>
  </si>
  <si>
    <t>MATHOL FC</t>
  </si>
  <si>
    <t>SEASON TEMPLATE — duplicate this tab, rename it (e.g. S9), fill in fixtures</t>
  </si>
  <si>
    <t>ALL-TIME RECORDS (updates automatically from the season tabs)</t>
  </si>
  <si>
    <t>S1</t>
  </si>
  <si>
    <t>S2</t>
  </si>
  <si>
    <t>S3</t>
  </si>
  <si>
    <t>S4</t>
  </si>
  <si>
    <t>S5</t>
  </si>
  <si>
    <t>S6</t>
  </si>
  <si>
    <t>S7</t>
  </si>
  <si>
    <t>S8</t>
  </si>
  <si>
    <t>S9</t>
  </si>
  <si>
    <t>S10</t>
  </si>
  <si>
    <t>ALL-TIME</t>
  </si>
  <si>
    <t>Player</t>
  </si>
  <si>
    <t>Goals/game</t>
  </si>
  <si>
    <t>PLAYER TABS — Season 8 onward (everything before S8 is settled)</t>
  </si>
  <si>
    <t>Season paid by:</t>
  </si>
  <si>
    <t>S8 charges</t>
  </si>
  <si>
    <t>S9 charges</t>
  </si>
  <si>
    <t>S10 charges</t>
  </si>
  <si>
    <t>Total charged</t>
  </si>
  <si>
    <t>Paid</t>
  </si>
  <si>
    <t>Balance owed</t>
  </si>
  <si>
    <t>PAYMENTS RECEIVED — one row per transfer</t>
  </si>
  <si>
    <t>Amount (£)</t>
  </si>
  <si>
    <t>Note</t>
  </si>
  <si>
    <t>format: 05/09/2026 · Phil Knott · 40 · bank transfer</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</si>
</sst>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
    <numFmt numFmtId="165" formatCode="hh:mm"/>
    <numFmt numFmtId="166" formatCode="\£#,##0.00"/>
    <numFmt numFmtId="167" formatCode="dd/mm/yyyy"/>
  </numFmts>
  <fonts count="10">
    <font>
      <sz val="11.0"/>
      <color theme="1"/>
      <name val="Calibri"/>
      <scheme val="minor"/>
    </font>
    <font>
      <b/>
      <sz val="14.0"/>
      <color rgb="FFFFFFFF"/>
      <name val="Arial"/>
    </font>
    <font>
      <sz val="10.0"/>
      <color rgb="FF000000"/>
      <name val="Arial"/>
    </font>
    <font>
      <b/>
      <sz val="11.0"/>
      <color rgb="FF1F3864"/>
      <name val="Arial"/>
    </font>
    <font>
      <b/>
      <sz val="12.0"/>
      <color rgb="FFFFFFFF"/>
      <name val="Arial"/>
    </font>
    <font>
      <sz val="11.0"/>
      <color theme="1"/>
      <name val="Calibri"/>
    </font>
    <font>
      <b/>
      <sz val="10.0"/>
      <color rgb="FF000000"/>
      <name val="Arial"/>
    </font>
    <font>
      <b/>
      <sz val="10.0"/>
      <color rgb="FFFFFFFF"/>
      <name val="Arial"/>
    </font>
    <font>
      <b/>
      <i/>
      <sz val="10.0"/>
      <color rgb="FF000000"/>
      <name val="Arial"/>
    </font>
    <font>
      <i/>
      <sz val="10.0"/>
      <color rgb="FF808080"/>
      <name val="Arial"/>
    </font>
  </fonts>
  <fills count="7">
    <fill>
      <patternFill patternType="none"/>
    </fill>
    <fill>
      <patternFill patternType="lightGray"/>
    </fill>
    <fill>
      <patternFill patternType="solid">
        <fgColor rgb="FF1F3864"/>
        <bgColor rgb="FF1F3864"/>
      </patternFill>
    </fill>
    <fill>
      <patternFill patternType="solid">
        <fgColor rgb="FFD9E1F2"/>
        <bgColor rgb="FFD9E1F2"/>
      </patternFill>
    </fill>
    <fill>
      <patternFill patternType="solid">
        <fgColor rgb="FFF2F2F2"/>
        <bgColor rgb="FFF2F2F2"/>
      </patternFill>
    </fill>
    <fill>
      <patternFill patternType="solid">
        <fgColor rgb="FFFFF2CC"/>
        <bgColor rgb="FFFFF2CC"/>
      </patternFill>
    </fill>
    <fill>
      <patternFill patternType="solid">
        <fgColor rgb="FF2F5597"/>
        <bgColor rgb="FF2F5597"/>
      </patternFill>
    </fill>
  </fills>
  <borders count="3">
    <border/>
    <border>
      <left/>
      <right/>
      <top/>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top" wrapText="1"/>
    </xf>
    <xf borderId="0" fillId="0" fontId="2" numFmtId="0" xfId="0" applyAlignment="1" applyFont="1">
      <alignment horizontal="left" shrinkToFit="0" vertical="top" wrapText="1"/>
    </xf>
    <xf borderId="0" fillId="0" fontId="3" numFmtId="0" xfId="0" applyAlignment="1" applyFont="1">
      <alignment horizontal="left" shrinkToFit="0" vertical="top" wrapText="1"/>
    </xf>
    <xf borderId="1" fillId="2" fontId="4" numFmtId="0" xfId="0" applyAlignment="1" applyBorder="1" applyFill="1" applyFont="1">
      <alignment shrinkToFit="0" vertical="bottom" wrapText="0"/>
    </xf>
    <xf borderId="1" fillId="2" fontId="5" numFmtId="0" xfId="0" applyAlignment="1" applyBorder="1" applyFill="1" applyFont="1">
      <alignment shrinkToFit="0" vertical="bottom" wrapText="0"/>
    </xf>
    <xf borderId="2" fillId="3" fontId="6" numFmtId="0" xfId="0" applyAlignment="1" applyBorder="1" applyFill="1" applyFont="1">
      <alignment horizontal="center" shrinkToFit="0" vertical="center" wrapText="0"/>
    </xf>
    <xf borderId="0" fillId="0" fontId="6" numFmtId="0" xfId="0" applyAlignment="1" applyFont="1">
      <alignment shrinkToFit="0" vertical="bottom" wrapText="0"/>
    </xf>
    <xf borderId="2" fillId="0" fontId="6" numFmtId="0" xfId="0" applyAlignment="1" applyBorder="1" applyFont="1">
      <alignment shrinkToFit="0" vertical="bottom" wrapText="0"/>
    </xf>
    <xf borderId="2" fillId="0" fontId="2" numFmtId="164" xfId="0" applyAlignment="1" applyBorder="1" applyFont="1" applyNumberFormat="1">
      <alignment horizontal="center" shrinkToFit="0" vertical="center" wrapText="0"/>
    </xf>
    <xf borderId="2" fillId="4" fontId="2" numFmtId="0" xfId="0" applyAlignment="1" applyBorder="1" applyFill="1" applyFont="1">
      <alignment shrinkToFit="0" vertical="bottom" wrapText="0"/>
    </xf>
    <xf borderId="2" fillId="0" fontId="2" numFmtId="165" xfId="0" applyAlignment="1" applyBorder="1" applyFont="1" applyNumberFormat="1">
      <alignment horizontal="center" shrinkToFit="0" vertical="center" wrapText="0"/>
    </xf>
    <xf borderId="2" fillId="0" fontId="2" numFmtId="0" xfId="0" applyAlignment="1" applyBorder="1" applyFont="1">
      <alignment horizontal="center" shrinkToFit="0" vertical="center" wrapText="1"/>
    </xf>
    <xf borderId="2" fillId="5" fontId="2" numFmtId="0" xfId="0" applyAlignment="1" applyBorder="1" applyFill="1" applyFont="1">
      <alignment horizontal="center" shrinkToFit="0" vertical="center" wrapText="0"/>
    </xf>
    <xf borderId="2" fillId="4" fontId="2" numFmtId="0" xfId="0" applyAlignment="1" applyBorder="1" applyFill="1" applyFont="1">
      <alignment horizontal="center" shrinkToFit="0" vertical="center" wrapText="0"/>
    </xf>
    <xf borderId="2" fillId="0" fontId="2" numFmtId="0" xfId="0" applyAlignment="1" applyBorder="1" applyFont="1">
      <alignment horizontal="center" shrinkToFit="0" vertical="center" wrapText="0"/>
    </xf>
    <xf borderId="2" fillId="4" fontId="2" numFmtId="166" xfId="0" applyAlignment="1" applyBorder="1" applyFill="1" applyFont="1" applyNumberFormat="1">
      <alignment shrinkToFit="0" vertical="bottom" wrapText="0"/>
    </xf>
    <xf borderId="2" fillId="0" fontId="2" numFmtId="0" xfId="0" applyAlignment="1" applyBorder="1" applyFont="1">
      <alignment horizontal="left" shrinkToFit="0" vertical="top" wrapText="1"/>
    </xf>
    <xf borderId="2" fillId="5" fontId="6" numFmtId="0" xfId="0" applyAlignment="1" applyBorder="1" applyFill="1" applyFont="1">
      <alignment shrinkToFit="0" vertical="bottom" wrapText="0"/>
    </xf>
    <xf borderId="2" fillId="5" fontId="2" numFmtId="166" xfId="0" applyAlignment="1" applyBorder="1" applyFill="1" applyFont="1" applyNumberFormat="1">
      <alignment horizontal="center" shrinkToFit="0" vertical="center" wrapText="0"/>
    </xf>
    <xf borderId="2" fillId="4" fontId="2" numFmtId="166" xfId="0" applyAlignment="1" applyBorder="1" applyFill="1" applyFont="1" applyNumberFormat="1">
      <alignment horizontal="center" shrinkToFit="0" vertical="center" wrapText="0"/>
    </xf>
    <xf borderId="2" fillId="6" fontId="7" numFmtId="0" xfId="0" applyAlignment="1" applyBorder="1" applyFill="1" applyFont="1">
      <alignment horizontal="left" shrinkToFit="0" vertical="center" wrapText="0"/>
    </xf>
    <xf borderId="2" fillId="6" fontId="7" numFmtId="0" xfId="0" applyAlignment="1" applyBorder="1" applyFill="1" applyFont="1">
      <alignment horizontal="center" shrinkToFit="0" vertical="center" wrapText="0"/>
    </xf>
    <xf borderId="2" fillId="0" fontId="2" numFmtId="0" xfId="0" applyAlignment="1" applyBorder="1" applyFont="1">
      <alignment shrinkToFit="0" vertical="bottom" wrapText="0"/>
    </xf>
    <xf borderId="2" fillId="4" fontId="6" numFmtId="0" xfId="0" applyAlignment="1" applyBorder="1" applyFill="1" applyFont="1">
      <alignment horizontal="center" shrinkToFit="0" vertical="center" wrapText="0"/>
    </xf>
    <xf borderId="2" fillId="4" fontId="6" numFmtId="166" xfId="0" applyAlignment="1" applyBorder="1" applyFill="1" applyFont="1" applyNumberFormat="1">
      <alignment horizontal="center" shrinkToFit="0" vertical="center" wrapText="0"/>
    </xf>
    <xf borderId="2" fillId="5" fontId="2" numFmtId="0" xfId="0" applyAlignment="1" applyBorder="1" applyFill="1" applyFont="1">
      <alignment horizontal="center" readingOrder="0" shrinkToFit="0" vertical="center" wrapText="0"/>
    </xf>
    <xf borderId="2" fillId="0" fontId="2" numFmtId="0" xfId="0" applyAlignment="1" applyBorder="1" applyFont="1">
      <alignment horizontal="center" readingOrder="0" shrinkToFit="0" vertical="center" wrapText="0"/>
    </xf>
    <xf borderId="1" fillId="2" fontId="7" numFmtId="0" xfId="0" applyAlignment="1" applyBorder="1" applyFill="1" applyFont="1">
      <alignment horizontal="center" shrinkToFit="0" vertical="center" wrapText="0"/>
    </xf>
    <xf borderId="1" fillId="2" fontId="7" numFmtId="0" xfId="0" applyAlignment="1" applyBorder="1" applyFill="1" applyFont="1">
      <alignment shrinkToFit="0" vertical="bottom" wrapText="0"/>
    </xf>
    <xf borderId="2" fillId="3" fontId="6" numFmtId="0" xfId="0" applyAlignment="1" applyBorder="1" applyFill="1" applyFont="1">
      <alignment horizontal="left" shrinkToFit="0" vertical="center" wrapText="0"/>
    </xf>
    <xf borderId="2" fillId="4" fontId="8" numFmtId="0" xfId="0" applyAlignment="1" applyBorder="1" applyFill="1" applyFont="1">
      <alignment horizontal="left" shrinkToFit="0" vertical="center" wrapText="0"/>
    </xf>
    <xf borderId="2" fillId="4" fontId="8" numFmtId="0" xfId="0" applyAlignment="1" applyBorder="1" applyFill="1" applyFont="1">
      <alignment horizontal="center" shrinkToFit="0" vertical="center" wrapText="0"/>
    </xf>
    <xf borderId="2" fillId="3" fontId="6" numFmtId="0" xfId="0" applyAlignment="1" applyBorder="1" applyFill="1" applyFont="1">
      <alignment horizontal="center" shrinkToFit="0" vertical="center" wrapText="1"/>
    </xf>
    <xf borderId="2" fillId="0" fontId="2" numFmtId="166" xfId="0" applyAlignment="1" applyBorder="1" applyFont="1" applyNumberFormat="1">
      <alignment horizontal="center" shrinkToFit="0" vertical="center" wrapText="0"/>
    </xf>
    <xf borderId="0" fillId="0" fontId="9" numFmtId="0" xfId="0" applyAlignment="1" applyFont="1">
      <alignment shrinkToFit="0" vertical="bottom" wrapText="0"/>
    </xf>
    <xf borderId="2" fillId="0" fontId="2" numFmtId="167" xfId="0" applyAlignment="1" applyBorder="1" applyFont="1" applyNumberFormat="1">
      <alignment shrinkToFit="0" vertical="bottom" wrapText="0"/>
    </xf>
    <xf borderId="2" fillId="0" fontId="2" numFmtId="166" xfId="0" applyAlignment="1" applyBorder="1" applyFont="1" applyNumberForma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115.0"/>
    <col customWidth="1" min="3" max="26" width="8.71"/>
  </cols>
  <sheetData>
    <row r="2" ht="24.0" customHeight="1">
      <c r="B2" s="1" t="s">
        <v>0</v>
      </c>
    </row>
    <row r="3">
      <c r="B3" s="2"/>
    </row>
    <row r="4">
      <c r="B4" s="3" t="s">
        <v>1</v>
      </c>
    </row>
    <row r="5">
      <c r="B5" s="2" t="s">
        <v>2</v>
      </c>
    </row>
    <row r="6">
      <c r="B6" s="2" t="s">
        <v>3</v>
      </c>
    </row>
    <row r="7">
      <c r="B7" s="2" t="s">
        <v>4</v>
      </c>
    </row>
    <row r="8">
      <c r="B8" s="2"/>
    </row>
    <row r="9">
      <c r="B9" s="3" t="s">
        <v>5</v>
      </c>
    </row>
    <row r="10">
      <c r="B10" s="2" t="s">
        <v>6</v>
      </c>
    </row>
    <row r="11">
      <c r="B11" s="2" t="s">
        <v>7</v>
      </c>
    </row>
    <row r="12">
      <c r="B12" s="2" t="s">
        <v>8</v>
      </c>
    </row>
    <row r="13">
      <c r="B13" s="2" t="s">
        <v>9</v>
      </c>
    </row>
    <row r="14">
      <c r="B14" s="2"/>
    </row>
    <row r="15">
      <c r="B15" s="3" t="s">
        <v>10</v>
      </c>
    </row>
    <row r="16">
      <c r="B16" s="2" t="s">
        <v>11</v>
      </c>
    </row>
    <row r="17">
      <c r="B17" s="2" t="s">
        <v>12</v>
      </c>
    </row>
    <row r="18">
      <c r="B18" s="2" t="s">
        <v>14</v>
      </c>
    </row>
    <row r="19">
      <c r="B19" s="2" t="s">
        <v>15</v>
      </c>
    </row>
    <row r="20">
      <c r="B20" s="2"/>
    </row>
    <row r="21" ht="15.75" customHeight="1">
      <c r="B21" s="3" t="s">
        <v>16</v>
      </c>
    </row>
    <row r="22" ht="15.75" customHeight="1">
      <c r="B22" s="2" t="s">
        <v>17</v>
      </c>
    </row>
    <row r="23" ht="15.75" customHeight="1">
      <c r="B23" s="2" t="s">
        <v>18</v>
      </c>
    </row>
    <row r="24" ht="15.75" customHeight="1">
      <c r="B24" s="2" t="s">
        <v>19</v>
      </c>
    </row>
    <row r="25" ht="15.75" customHeight="1">
      <c r="B25" s="2"/>
    </row>
    <row r="26" ht="15.75" customHeight="1">
      <c r="B26" s="3" t="s">
        <v>21</v>
      </c>
    </row>
    <row r="27" ht="15.75" customHeight="1">
      <c r="B27" s="2" t="s">
        <v>22</v>
      </c>
    </row>
    <row r="28" ht="15.75" customHeight="1">
      <c r="B28" s="2" t="s">
        <v>23</v>
      </c>
    </row>
    <row r="29" ht="15.75" customHeight="1">
      <c r="B29" s="2" t="s">
        <v>24</v>
      </c>
    </row>
    <row r="30" ht="15.75" customHeight="1">
      <c r="B30" s="2" t="s">
        <v>25</v>
      </c>
    </row>
    <row r="31" ht="15.75" customHeight="1">
      <c r="B31" s="2" t="s">
        <v>26</v>
      </c>
    </row>
    <row r="32" ht="15.75" customHeight="1">
      <c r="B32" s="2" t="s">
        <v>27</v>
      </c>
    </row>
    <row r="33" ht="15.75" customHeight="1">
      <c r="B33" s="2"/>
    </row>
    <row r="34" ht="15.75" customHeight="1">
      <c r="B34" s="3" t="s">
        <v>28</v>
      </c>
    </row>
    <row r="35" ht="15.75" customHeight="1">
      <c r="B35" s="2" t="s">
        <v>29</v>
      </c>
    </row>
    <row r="36" ht="15.75" customHeight="1">
      <c r="B36" s="2" t="s">
        <v>30</v>
      </c>
    </row>
    <row r="37" ht="15.75" customHeight="1">
      <c r="B37" s="2" t="s">
        <v>31</v>
      </c>
    </row>
    <row r="38" ht="15.75" customHeight="1">
      <c r="B38" s="2" t="s">
        <v>32</v>
      </c>
    </row>
    <row r="39" ht="15.75" customHeight="1">
      <c r="B39" s="2" t="s">
        <v>33</v>
      </c>
    </row>
    <row r="40" ht="15.75" customHeight="1">
      <c r="B40" s="2" t="s">
        <v>35</v>
      </c>
    </row>
    <row r="41" ht="15.75" customHeight="1">
      <c r="B41" s="2" t="s">
        <v>36</v>
      </c>
    </row>
    <row r="42" ht="15.75" customHeight="1">
      <c r="B42" s="2" t="s">
        <v>37</v>
      </c>
    </row>
    <row r="43" ht="15.75" customHeight="1">
      <c r="B43" s="2" t="s">
        <v>38</v>
      </c>
    </row>
    <row r="44" ht="15.75" customHeight="1">
      <c r="B44" s="2"/>
    </row>
    <row r="45" ht="15.75" customHeight="1">
      <c r="B45" s="2" t="s">
        <v>39</v>
      </c>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6.0"/>
    <col customWidth="1" min="2" max="25" width="12.0"/>
    <col customWidth="1" min="26" max="26" width="8.71"/>
  </cols>
  <sheetData>
    <row r="1">
      <c r="A1" s="4" t="s">
        <v>13</v>
      </c>
      <c r="B1" s="5"/>
      <c r="C1" s="5"/>
      <c r="D1" s="5"/>
      <c r="E1" s="5"/>
      <c r="F1" s="5"/>
      <c r="G1" s="5"/>
      <c r="H1" s="5"/>
      <c r="I1" s="5"/>
      <c r="J1" s="5"/>
      <c r="K1" s="5"/>
      <c r="L1" s="5"/>
      <c r="M1" s="5"/>
      <c r="N1" s="5"/>
      <c r="O1" s="5"/>
      <c r="P1" s="5"/>
      <c r="Q1" s="5"/>
      <c r="R1" s="5"/>
      <c r="S1" s="5"/>
      <c r="T1" s="5"/>
      <c r="U1" s="5"/>
      <c r="V1" s="5"/>
      <c r="W1" s="5"/>
      <c r="X1" s="5"/>
      <c r="Y1" s="5"/>
    </row>
    <row r="2">
      <c r="A2" s="6" t="s">
        <v>40</v>
      </c>
      <c r="B2" s="6" t="s">
        <v>41</v>
      </c>
      <c r="C2" s="6" t="s">
        <v>42</v>
      </c>
      <c r="D2" s="6" t="s">
        <v>43</v>
      </c>
      <c r="E2" s="6" t="s">
        <v>44</v>
      </c>
      <c r="F2" s="6" t="s">
        <v>45</v>
      </c>
      <c r="G2" s="6" t="s">
        <v>46</v>
      </c>
      <c r="H2" s="6" t="s">
        <v>47</v>
      </c>
      <c r="I2" s="6" t="s">
        <v>48</v>
      </c>
      <c r="J2" s="6" t="s">
        <v>49</v>
      </c>
      <c r="K2" s="6" t="s">
        <v>50</v>
      </c>
      <c r="L2" s="6" t="s">
        <v>51</v>
      </c>
      <c r="M2" s="6" t="s">
        <v>52</v>
      </c>
      <c r="N2" s="6" t="s">
        <v>53</v>
      </c>
      <c r="O2" s="6" t="s">
        <v>54</v>
      </c>
      <c r="P2" s="6" t="s">
        <v>55</v>
      </c>
      <c r="Q2" s="6" t="s">
        <v>56</v>
      </c>
      <c r="R2" s="6" t="s">
        <v>57</v>
      </c>
      <c r="S2" s="6" t="s">
        <v>58</v>
      </c>
      <c r="T2" s="6" t="s">
        <v>59</v>
      </c>
      <c r="U2" s="6" t="s">
        <v>60</v>
      </c>
      <c r="X2" s="7" t="s">
        <v>61</v>
      </c>
    </row>
    <row r="3">
      <c r="A3" s="8" t="s">
        <v>62</v>
      </c>
      <c r="B3" s="9">
        <v>45546.0</v>
      </c>
      <c r="C3" s="9">
        <v>45553.0</v>
      </c>
      <c r="D3" s="9">
        <v>45560.0</v>
      </c>
      <c r="E3" s="9">
        <v>45567.0</v>
      </c>
      <c r="F3" s="9">
        <v>45574.0</v>
      </c>
      <c r="G3" s="9">
        <v>45581.0</v>
      </c>
      <c r="H3" s="9">
        <v>45588.0</v>
      </c>
      <c r="I3" s="9">
        <v>45595.0</v>
      </c>
      <c r="J3" s="9">
        <v>45602.0</v>
      </c>
      <c r="K3" s="9">
        <v>45609.0</v>
      </c>
      <c r="L3" s="9"/>
      <c r="M3" s="9"/>
      <c r="N3" s="9"/>
      <c r="O3" s="9"/>
      <c r="P3" s="9"/>
      <c r="Q3" s="9"/>
      <c r="R3" s="9"/>
      <c r="S3" s="9"/>
      <c r="T3" s="9"/>
      <c r="U3" s="9"/>
      <c r="X3" s="7" t="s">
        <v>63</v>
      </c>
      <c r="Y3" s="10">
        <f>Y4+Y5+Y6</f>
        <v>10</v>
      </c>
    </row>
    <row r="4">
      <c r="A4" s="8" t="s">
        <v>64</v>
      </c>
      <c r="B4" s="11"/>
      <c r="C4" s="11"/>
      <c r="D4" s="11"/>
      <c r="E4" s="11"/>
      <c r="F4" s="11"/>
      <c r="G4" s="11"/>
      <c r="H4" s="11"/>
      <c r="I4" s="11"/>
      <c r="J4" s="11"/>
      <c r="K4" s="11"/>
      <c r="L4" s="11"/>
      <c r="M4" s="11"/>
      <c r="N4" s="11"/>
      <c r="O4" s="11"/>
      <c r="P4" s="11"/>
      <c r="Q4" s="11"/>
      <c r="R4" s="11"/>
      <c r="S4" s="11"/>
      <c r="T4" s="11"/>
      <c r="U4" s="11"/>
      <c r="X4" s="7" t="s">
        <v>65</v>
      </c>
      <c r="Y4" s="10">
        <f>SUMPRODUCT(($B$9:$U$9="W")*($B$16:$U$16=""))</f>
        <v>2</v>
      </c>
    </row>
    <row r="5" ht="27.75" customHeight="1">
      <c r="A5" s="8" t="s">
        <v>66</v>
      </c>
      <c r="B5" s="12" t="s">
        <v>67</v>
      </c>
      <c r="C5" s="12" t="s">
        <v>68</v>
      </c>
      <c r="D5" s="12" t="s">
        <v>69</v>
      </c>
      <c r="E5" s="12" t="s">
        <v>70</v>
      </c>
      <c r="F5" s="12" t="s">
        <v>71</v>
      </c>
      <c r="G5" s="12" t="s">
        <v>67</v>
      </c>
      <c r="H5" s="12" t="s">
        <v>68</v>
      </c>
      <c r="I5" s="12" t="s">
        <v>69</v>
      </c>
      <c r="J5" s="12" t="s">
        <v>70</v>
      </c>
      <c r="K5" s="12" t="s">
        <v>71</v>
      </c>
      <c r="L5" s="12"/>
      <c r="M5" s="12"/>
      <c r="N5" s="12"/>
      <c r="O5" s="12"/>
      <c r="P5" s="12"/>
      <c r="Q5" s="12"/>
      <c r="R5" s="12"/>
      <c r="S5" s="12"/>
      <c r="T5" s="12"/>
      <c r="U5" s="12"/>
      <c r="X5" s="7" t="s">
        <v>75</v>
      </c>
      <c r="Y5" s="10">
        <f>SUMPRODUCT(($B$9:$U$9="D")*($B$16:$U$16=""))</f>
        <v>1</v>
      </c>
    </row>
    <row r="6">
      <c r="A6" s="8" t="s">
        <v>79</v>
      </c>
      <c r="B6" s="13">
        <v>3.0</v>
      </c>
      <c r="C6" s="13">
        <v>4.0</v>
      </c>
      <c r="D6" s="13">
        <v>1.0</v>
      </c>
      <c r="E6" s="13">
        <v>0.0</v>
      </c>
      <c r="F6" s="13">
        <v>1.0</v>
      </c>
      <c r="G6" s="13">
        <v>5.0</v>
      </c>
      <c r="H6" s="13">
        <v>3.0</v>
      </c>
      <c r="I6" s="13">
        <v>2.0</v>
      </c>
      <c r="J6" s="13">
        <v>3.0</v>
      </c>
      <c r="K6" s="13">
        <v>1.0</v>
      </c>
      <c r="L6" s="13"/>
      <c r="M6" s="13"/>
      <c r="N6" s="13"/>
      <c r="O6" s="13"/>
      <c r="P6" s="13"/>
      <c r="Q6" s="13"/>
      <c r="R6" s="13"/>
      <c r="S6" s="13"/>
      <c r="T6" s="13"/>
      <c r="U6" s="13"/>
      <c r="X6" s="7" t="s">
        <v>80</v>
      </c>
      <c r="Y6" s="10">
        <f>SUMPRODUCT(($B$9:$U$9="L")*($B$16:$U$16=""))</f>
        <v>7</v>
      </c>
    </row>
    <row r="7">
      <c r="A7" s="8" t="s">
        <v>81</v>
      </c>
      <c r="B7" s="13">
        <v>11.0</v>
      </c>
      <c r="C7" s="13">
        <v>3.0</v>
      </c>
      <c r="D7" s="13">
        <v>5.0</v>
      </c>
      <c r="E7" s="13">
        <v>3.0</v>
      </c>
      <c r="F7" s="13">
        <v>2.0</v>
      </c>
      <c r="G7" s="13">
        <v>9.0</v>
      </c>
      <c r="H7" s="13">
        <v>3.0</v>
      </c>
      <c r="I7" s="13">
        <v>5.0</v>
      </c>
      <c r="J7" s="13">
        <v>2.0</v>
      </c>
      <c r="K7" s="13">
        <v>2.0</v>
      </c>
      <c r="L7" s="13"/>
      <c r="M7" s="13"/>
      <c r="N7" s="13"/>
      <c r="O7" s="13"/>
      <c r="P7" s="13"/>
      <c r="Q7" s="13"/>
      <c r="R7" s="13"/>
      <c r="S7" s="13"/>
      <c r="T7" s="13"/>
      <c r="U7" s="13"/>
      <c r="X7" s="7" t="s">
        <v>82</v>
      </c>
      <c r="Y7" s="10">
        <f>SUMPRODUCT($B$6:$U$6*($B$16:$U$16=""))</f>
        <v>23</v>
      </c>
    </row>
    <row r="8">
      <c r="A8" s="8" t="s">
        <v>83</v>
      </c>
      <c r="B8" s="14" t="str">
        <f t="shared" ref="B8:U8" si="1">IF(COUNT(B6:B7)&lt;2,"",B6&amp;"-"&amp;B7)</f>
        <v>3-11</v>
      </c>
      <c r="C8" s="14" t="str">
        <f t="shared" si="1"/>
        <v>4-3</v>
      </c>
      <c r="D8" s="14" t="str">
        <f t="shared" si="1"/>
        <v>1-5</v>
      </c>
      <c r="E8" s="14" t="str">
        <f t="shared" si="1"/>
        <v>0-3</v>
      </c>
      <c r="F8" s="14" t="str">
        <f t="shared" si="1"/>
        <v>1-2</v>
      </c>
      <c r="G8" s="14" t="str">
        <f t="shared" si="1"/>
        <v>5-9</v>
      </c>
      <c r="H8" s="14" t="str">
        <f t="shared" si="1"/>
        <v>3-3</v>
      </c>
      <c r="I8" s="14" t="str">
        <f t="shared" si="1"/>
        <v>2-5</v>
      </c>
      <c r="J8" s="14" t="str">
        <f t="shared" si="1"/>
        <v>3-2</v>
      </c>
      <c r="K8" s="14" t="str">
        <f t="shared" si="1"/>
        <v>1-2</v>
      </c>
      <c r="L8" s="14" t="str">
        <f t="shared" si="1"/>
        <v/>
      </c>
      <c r="M8" s="14" t="str">
        <f t="shared" si="1"/>
        <v/>
      </c>
      <c r="N8" s="14" t="str">
        <f t="shared" si="1"/>
        <v/>
      </c>
      <c r="O8" s="14" t="str">
        <f t="shared" si="1"/>
        <v/>
      </c>
      <c r="P8" s="14" t="str">
        <f t="shared" si="1"/>
        <v/>
      </c>
      <c r="Q8" s="14" t="str">
        <f t="shared" si="1"/>
        <v/>
      </c>
      <c r="R8" s="14" t="str">
        <f t="shared" si="1"/>
        <v/>
      </c>
      <c r="S8" s="14" t="str">
        <f t="shared" si="1"/>
        <v/>
      </c>
      <c r="T8" s="14" t="str">
        <f t="shared" si="1"/>
        <v/>
      </c>
      <c r="U8" s="14" t="str">
        <f t="shared" si="1"/>
        <v/>
      </c>
      <c r="X8" s="7" t="s">
        <v>94</v>
      </c>
      <c r="Y8" s="10">
        <f>SUMPRODUCT($B$7:$U$7*($B$16:$U$16=""))</f>
        <v>45</v>
      </c>
    </row>
    <row r="9">
      <c r="A9" s="8" t="s">
        <v>95</v>
      </c>
      <c r="B9" s="14" t="str">
        <f t="shared" ref="B9:U9" si="2">IF(COUNT(B6:B7)&lt;2,"",IF(B6&gt;B7,"W",IF(B6&lt;B7,"L","D")))</f>
        <v>L</v>
      </c>
      <c r="C9" s="14" t="str">
        <f t="shared" si="2"/>
        <v>W</v>
      </c>
      <c r="D9" s="14" t="str">
        <f t="shared" si="2"/>
        <v>L</v>
      </c>
      <c r="E9" s="14" t="str">
        <f t="shared" si="2"/>
        <v>L</v>
      </c>
      <c r="F9" s="14" t="str">
        <f t="shared" si="2"/>
        <v>L</v>
      </c>
      <c r="G9" s="14" t="str">
        <f t="shared" si="2"/>
        <v>L</v>
      </c>
      <c r="H9" s="14" t="str">
        <f t="shared" si="2"/>
        <v>D</v>
      </c>
      <c r="I9" s="14" t="str">
        <f t="shared" si="2"/>
        <v>L</v>
      </c>
      <c r="J9" s="14" t="str">
        <f t="shared" si="2"/>
        <v>W</v>
      </c>
      <c r="K9" s="14" t="str">
        <f t="shared" si="2"/>
        <v>L</v>
      </c>
      <c r="L9" s="14" t="str">
        <f t="shared" si="2"/>
        <v/>
      </c>
      <c r="M9" s="14" t="str">
        <f t="shared" si="2"/>
        <v/>
      </c>
      <c r="N9" s="14" t="str">
        <f t="shared" si="2"/>
        <v/>
      </c>
      <c r="O9" s="14" t="str">
        <f t="shared" si="2"/>
        <v/>
      </c>
      <c r="P9" s="14" t="str">
        <f t="shared" si="2"/>
        <v/>
      </c>
      <c r="Q9" s="14" t="str">
        <f t="shared" si="2"/>
        <v/>
      </c>
      <c r="R9" s="14" t="str">
        <f t="shared" si="2"/>
        <v/>
      </c>
      <c r="S9" s="14" t="str">
        <f t="shared" si="2"/>
        <v/>
      </c>
      <c r="T9" s="14" t="str">
        <f t="shared" si="2"/>
        <v/>
      </c>
      <c r="U9" s="14" t="str">
        <f t="shared" si="2"/>
        <v/>
      </c>
      <c r="X9" s="7" t="s">
        <v>96</v>
      </c>
      <c r="Y9" s="10" t="str">
        <f t="array" ref="Y9">IF(MAX($V$49:$V$76)=0,"—",INDEX($A$49:$A$76,MATCH(MAX($V$49:$V$76),$V$49:$V$76,0))&amp;" ("&amp;MAX($V$49:$V$76)&amp;")")</f>
        <v>Sam Holt (5)</v>
      </c>
    </row>
    <row r="10">
      <c r="A10" s="8" t="s">
        <v>97</v>
      </c>
      <c r="B10" s="15" t="s">
        <v>98</v>
      </c>
      <c r="C10" s="15" t="s">
        <v>100</v>
      </c>
      <c r="D10" s="15" t="s">
        <v>102</v>
      </c>
      <c r="E10" s="15" t="s">
        <v>101</v>
      </c>
      <c r="F10" s="15" t="s">
        <v>105</v>
      </c>
      <c r="G10" s="15" t="s">
        <v>99</v>
      </c>
      <c r="H10" s="15" t="s">
        <v>103</v>
      </c>
      <c r="I10" s="15" t="s">
        <v>102</v>
      </c>
      <c r="J10" s="15" t="s">
        <v>99</v>
      </c>
      <c r="K10" s="15" t="s">
        <v>98</v>
      </c>
      <c r="L10" s="15"/>
      <c r="M10" s="15"/>
      <c r="N10" s="15"/>
      <c r="O10" s="15"/>
      <c r="P10" s="15"/>
      <c r="Q10" s="15"/>
      <c r="R10" s="15"/>
      <c r="S10" s="15"/>
      <c r="T10" s="15"/>
      <c r="U10" s="15"/>
      <c r="X10" s="7" t="s">
        <v>106</v>
      </c>
      <c r="Y10" s="10" t="str">
        <f t="array" ref="Y10">IF(MAX($V$18:$V$45)=0,"—",INDEX($A$18:$A$45,MATCH(MAX($V$18:$V$45),$V$18:$V$45,0))&amp;" ("&amp;MAX($V$18:$V$45)&amp;")")</f>
        <v>Phil Knott (10)</v>
      </c>
    </row>
    <row r="11">
      <c r="A11" s="8" t="s">
        <v>107</v>
      </c>
      <c r="B11" s="15" t="s">
        <v>101</v>
      </c>
      <c r="C11" s="15" t="s">
        <v>105</v>
      </c>
      <c r="D11" s="15"/>
      <c r="E11" s="15" t="s">
        <v>105</v>
      </c>
      <c r="F11" s="15" t="s">
        <v>109</v>
      </c>
      <c r="G11" s="15"/>
      <c r="H11" s="15" t="s">
        <v>110</v>
      </c>
      <c r="I11" s="15"/>
      <c r="J11" s="15" t="s">
        <v>111</v>
      </c>
      <c r="K11" s="15" t="s">
        <v>98</v>
      </c>
      <c r="L11" s="15"/>
      <c r="M11" s="15"/>
      <c r="N11" s="15"/>
      <c r="O11" s="15"/>
      <c r="P11" s="15"/>
      <c r="Q11" s="15"/>
      <c r="R11" s="15"/>
      <c r="S11" s="15"/>
      <c r="T11" s="15"/>
      <c r="U11" s="15"/>
      <c r="X11" s="7" t="s">
        <v>108</v>
      </c>
      <c r="Y11" s="16">
        <f>SUM($B$13:$U$13)</f>
        <v>0</v>
      </c>
    </row>
    <row r="12" ht="25.5" customHeight="1">
      <c r="A12" s="8" t="s">
        <v>112</v>
      </c>
      <c r="B12" s="17"/>
      <c r="C12" s="17" t="s">
        <v>113</v>
      </c>
      <c r="D12" s="17"/>
      <c r="E12" s="17" t="s">
        <v>114</v>
      </c>
      <c r="F12" s="17" t="s">
        <v>115</v>
      </c>
      <c r="G12" s="17"/>
      <c r="H12" s="17" t="s">
        <v>116</v>
      </c>
      <c r="I12" s="17"/>
      <c r="J12" s="17" t="s">
        <v>117</v>
      </c>
      <c r="K12" s="17" t="s">
        <v>118</v>
      </c>
      <c r="L12" s="17"/>
      <c r="M12" s="17"/>
      <c r="N12" s="17"/>
      <c r="O12" s="17"/>
      <c r="P12" s="17"/>
      <c r="Q12" s="17"/>
      <c r="R12" s="17"/>
      <c r="S12" s="17"/>
      <c r="T12" s="17"/>
      <c r="U12" s="17"/>
      <c r="X12" s="7" t="s">
        <v>119</v>
      </c>
      <c r="Y12" s="18"/>
    </row>
    <row r="13">
      <c r="A13" s="8" t="s">
        <v>123</v>
      </c>
      <c r="B13" s="19"/>
      <c r="C13" s="19"/>
      <c r="D13" s="19"/>
      <c r="E13" s="19"/>
      <c r="F13" s="19"/>
      <c r="G13" s="19"/>
      <c r="H13" s="19"/>
      <c r="I13" s="19"/>
      <c r="J13" s="19"/>
      <c r="K13" s="19"/>
      <c r="L13" s="19"/>
      <c r="M13" s="19"/>
      <c r="N13" s="19"/>
      <c r="O13" s="19"/>
      <c r="P13" s="19"/>
      <c r="Q13" s="19"/>
      <c r="R13" s="19"/>
      <c r="S13" s="19"/>
      <c r="T13" s="19"/>
      <c r="U13" s="19"/>
    </row>
    <row r="14">
      <c r="A14" s="8" t="s">
        <v>126</v>
      </c>
      <c r="B14" s="14">
        <f t="shared" ref="B14:U14" si="3">COUNT(B$18:B$45)</f>
        <v>6</v>
      </c>
      <c r="C14" s="14">
        <f t="shared" si="3"/>
        <v>6</v>
      </c>
      <c r="D14" s="14">
        <f t="shared" si="3"/>
        <v>5</v>
      </c>
      <c r="E14" s="14">
        <f t="shared" si="3"/>
        <v>7</v>
      </c>
      <c r="F14" s="14">
        <f t="shared" si="3"/>
        <v>7</v>
      </c>
      <c r="G14" s="14">
        <f t="shared" si="3"/>
        <v>10</v>
      </c>
      <c r="H14" s="14">
        <f t="shared" si="3"/>
        <v>7</v>
      </c>
      <c r="I14" s="14">
        <f t="shared" si="3"/>
        <v>6</v>
      </c>
      <c r="J14" s="14">
        <f t="shared" si="3"/>
        <v>7</v>
      </c>
      <c r="K14" s="14">
        <f t="shared" si="3"/>
        <v>7</v>
      </c>
      <c r="L14" s="14">
        <f t="shared" si="3"/>
        <v>0</v>
      </c>
      <c r="M14" s="14">
        <f t="shared" si="3"/>
        <v>0</v>
      </c>
      <c r="N14" s="14">
        <f t="shared" si="3"/>
        <v>0</v>
      </c>
      <c r="O14" s="14">
        <f t="shared" si="3"/>
        <v>0</v>
      </c>
      <c r="P14" s="14">
        <f t="shared" si="3"/>
        <v>0</v>
      </c>
      <c r="Q14" s="14">
        <f t="shared" si="3"/>
        <v>0</v>
      </c>
      <c r="R14" s="14">
        <f t="shared" si="3"/>
        <v>0</v>
      </c>
      <c r="S14" s="14">
        <f t="shared" si="3"/>
        <v>0</v>
      </c>
      <c r="T14" s="14">
        <f t="shared" si="3"/>
        <v>0</v>
      </c>
      <c r="U14" s="14">
        <f t="shared" si="3"/>
        <v>0</v>
      </c>
    </row>
    <row r="15">
      <c r="A15" s="8" t="s">
        <v>127</v>
      </c>
      <c r="B15" s="20">
        <f t="shared" ref="B15:U15" si="4">IF(B$14=0,0,N(B$13)/B$14)</f>
        <v>0</v>
      </c>
      <c r="C15" s="20">
        <f t="shared" si="4"/>
        <v>0</v>
      </c>
      <c r="D15" s="20">
        <f t="shared" si="4"/>
        <v>0</v>
      </c>
      <c r="E15" s="20">
        <f t="shared" si="4"/>
        <v>0</v>
      </c>
      <c r="F15" s="20">
        <f t="shared" si="4"/>
        <v>0</v>
      </c>
      <c r="G15" s="20">
        <f t="shared" si="4"/>
        <v>0</v>
      </c>
      <c r="H15" s="20">
        <f t="shared" si="4"/>
        <v>0</v>
      </c>
      <c r="I15" s="20">
        <f t="shared" si="4"/>
        <v>0</v>
      </c>
      <c r="J15" s="20">
        <f t="shared" si="4"/>
        <v>0</v>
      </c>
      <c r="K15" s="20">
        <f t="shared" si="4"/>
        <v>0</v>
      </c>
      <c r="L15" s="20">
        <f t="shared" si="4"/>
        <v>0</v>
      </c>
      <c r="M15" s="20">
        <f t="shared" si="4"/>
        <v>0</v>
      </c>
      <c r="N15" s="20">
        <f t="shared" si="4"/>
        <v>0</v>
      </c>
      <c r="O15" s="20">
        <f t="shared" si="4"/>
        <v>0</v>
      </c>
      <c r="P15" s="20">
        <f t="shared" si="4"/>
        <v>0</v>
      </c>
      <c r="Q15" s="20">
        <f t="shared" si="4"/>
        <v>0</v>
      </c>
      <c r="R15" s="20">
        <f t="shared" si="4"/>
        <v>0</v>
      </c>
      <c r="S15" s="20">
        <f t="shared" si="4"/>
        <v>0</v>
      </c>
      <c r="T15" s="20">
        <f t="shared" si="4"/>
        <v>0</v>
      </c>
      <c r="U15" s="20">
        <f t="shared" si="4"/>
        <v>0</v>
      </c>
    </row>
    <row r="16">
      <c r="A16" s="8" t="s">
        <v>128</v>
      </c>
      <c r="B16" s="13"/>
      <c r="C16" s="13"/>
      <c r="D16" s="13"/>
      <c r="E16" s="13"/>
      <c r="F16" s="13"/>
      <c r="G16" s="13"/>
      <c r="H16" s="13"/>
      <c r="I16" s="13"/>
      <c r="J16" s="13"/>
      <c r="K16" s="13"/>
      <c r="L16" s="13"/>
      <c r="M16" s="13"/>
      <c r="N16" s="13"/>
      <c r="O16" s="13"/>
      <c r="P16" s="13"/>
      <c r="Q16" s="13"/>
      <c r="R16" s="13"/>
      <c r="S16" s="13"/>
      <c r="T16" s="13"/>
      <c r="U16" s="13"/>
    </row>
    <row r="17">
      <c r="A17" s="21" t="s">
        <v>129</v>
      </c>
      <c r="B17" s="22" t="s">
        <v>41</v>
      </c>
      <c r="C17" s="22" t="s">
        <v>42</v>
      </c>
      <c r="D17" s="22" t="s">
        <v>43</v>
      </c>
      <c r="E17" s="22" t="s">
        <v>44</v>
      </c>
      <c r="F17" s="22" t="s">
        <v>45</v>
      </c>
      <c r="G17" s="22" t="s">
        <v>46</v>
      </c>
      <c r="H17" s="22" t="s">
        <v>47</v>
      </c>
      <c r="I17" s="22" t="s">
        <v>48</v>
      </c>
      <c r="J17" s="22" t="s">
        <v>49</v>
      </c>
      <c r="K17" s="22" t="s">
        <v>50</v>
      </c>
      <c r="L17" s="22" t="s">
        <v>51</v>
      </c>
      <c r="M17" s="22" t="s">
        <v>52</v>
      </c>
      <c r="N17" s="22" t="s">
        <v>53</v>
      </c>
      <c r="O17" s="22" t="s">
        <v>54</v>
      </c>
      <c r="P17" s="22" t="s">
        <v>55</v>
      </c>
      <c r="Q17" s="22" t="s">
        <v>56</v>
      </c>
      <c r="R17" s="22" t="s">
        <v>57</v>
      </c>
      <c r="S17" s="22" t="s">
        <v>58</v>
      </c>
      <c r="T17" s="22" t="s">
        <v>59</v>
      </c>
      <c r="U17" s="22" t="s">
        <v>60</v>
      </c>
      <c r="V17" s="22" t="s">
        <v>130</v>
      </c>
      <c r="W17" s="22" t="s">
        <v>131</v>
      </c>
    </row>
    <row r="18">
      <c r="A18" s="23" t="s">
        <v>132</v>
      </c>
      <c r="B18" s="15"/>
      <c r="C18" s="15"/>
      <c r="D18" s="15"/>
      <c r="E18" s="15"/>
      <c r="F18" s="15"/>
      <c r="G18" s="15"/>
      <c r="H18" s="15"/>
      <c r="I18" s="15"/>
      <c r="J18" s="15"/>
      <c r="K18" s="15"/>
      <c r="L18" s="15"/>
      <c r="M18" s="15"/>
      <c r="N18" s="15"/>
      <c r="O18" s="15"/>
      <c r="P18" s="15"/>
      <c r="Q18" s="15"/>
      <c r="R18" s="15"/>
      <c r="S18" s="15"/>
      <c r="T18" s="15"/>
      <c r="U18" s="15"/>
      <c r="V18" s="24">
        <f t="shared" ref="V18:V45" si="5">SUMPRODUCT(B18:U18*($B$16:$U$16=""))</f>
        <v>0</v>
      </c>
      <c r="W18" s="20">
        <f t="shared" ref="W18:W45" si="6">SUMPRODUCT($B18:$U18,$B$15:$U$15)</f>
        <v>0</v>
      </c>
    </row>
    <row r="19">
      <c r="A19" s="23" t="s">
        <v>133</v>
      </c>
      <c r="B19" s="15"/>
      <c r="C19" s="15"/>
      <c r="D19" s="15"/>
      <c r="E19" s="15"/>
      <c r="F19" s="15"/>
      <c r="G19" s="15"/>
      <c r="H19" s="15"/>
      <c r="I19" s="15"/>
      <c r="J19" s="15"/>
      <c r="K19" s="15"/>
      <c r="L19" s="15"/>
      <c r="M19" s="15"/>
      <c r="N19" s="15"/>
      <c r="O19" s="15"/>
      <c r="P19" s="15"/>
      <c r="Q19" s="15"/>
      <c r="R19" s="15"/>
      <c r="S19" s="15"/>
      <c r="T19" s="15"/>
      <c r="U19" s="15"/>
      <c r="V19" s="24">
        <f t="shared" si="5"/>
        <v>0</v>
      </c>
      <c r="W19" s="20">
        <f t="shared" si="6"/>
        <v>0</v>
      </c>
    </row>
    <row r="20">
      <c r="A20" s="23" t="s">
        <v>103</v>
      </c>
      <c r="B20" s="15"/>
      <c r="C20" s="15"/>
      <c r="D20" s="15">
        <v>1.0</v>
      </c>
      <c r="E20" s="15"/>
      <c r="F20" s="15"/>
      <c r="G20" s="15">
        <v>1.0</v>
      </c>
      <c r="H20" s="15">
        <v>1.0</v>
      </c>
      <c r="I20" s="15"/>
      <c r="J20" s="15"/>
      <c r="K20" s="15"/>
      <c r="L20" s="15"/>
      <c r="M20" s="15"/>
      <c r="N20" s="15"/>
      <c r="O20" s="15"/>
      <c r="P20" s="15"/>
      <c r="Q20" s="15"/>
      <c r="R20" s="15"/>
      <c r="S20" s="15"/>
      <c r="T20" s="15"/>
      <c r="U20" s="15"/>
      <c r="V20" s="24">
        <f t="shared" si="5"/>
        <v>3</v>
      </c>
      <c r="W20" s="20">
        <f t="shared" si="6"/>
        <v>0</v>
      </c>
    </row>
    <row r="21" ht="15.75" customHeight="1">
      <c r="A21" s="23" t="s">
        <v>110</v>
      </c>
      <c r="B21" s="15"/>
      <c r="C21" s="15"/>
      <c r="D21" s="15"/>
      <c r="E21" s="15"/>
      <c r="F21" s="15">
        <v>1.0</v>
      </c>
      <c r="G21" s="15"/>
      <c r="H21" s="15">
        <v>1.0</v>
      </c>
      <c r="I21" s="15">
        <v>1.0</v>
      </c>
      <c r="J21" s="15">
        <v>1.0</v>
      </c>
      <c r="K21" s="15">
        <v>1.0</v>
      </c>
      <c r="L21" s="15"/>
      <c r="M21" s="15"/>
      <c r="N21" s="15"/>
      <c r="O21" s="15"/>
      <c r="P21" s="15"/>
      <c r="Q21" s="15"/>
      <c r="R21" s="15"/>
      <c r="S21" s="15"/>
      <c r="T21" s="15"/>
      <c r="U21" s="15"/>
      <c r="V21" s="24">
        <f t="shared" si="5"/>
        <v>5</v>
      </c>
      <c r="W21" s="20">
        <f t="shared" si="6"/>
        <v>0</v>
      </c>
    </row>
    <row r="22" ht="15.75" customHeight="1">
      <c r="A22" s="23" t="s">
        <v>100</v>
      </c>
      <c r="B22" s="15"/>
      <c r="C22" s="15">
        <v>1.0</v>
      </c>
      <c r="D22" s="15"/>
      <c r="E22" s="15">
        <v>1.0</v>
      </c>
      <c r="F22" s="15"/>
      <c r="G22" s="15">
        <v>1.0</v>
      </c>
      <c r="H22" s="15"/>
      <c r="I22" s="15"/>
      <c r="J22" s="15"/>
      <c r="K22" s="15"/>
      <c r="L22" s="15"/>
      <c r="M22" s="15"/>
      <c r="N22" s="15"/>
      <c r="O22" s="15"/>
      <c r="P22" s="15"/>
      <c r="Q22" s="15"/>
      <c r="R22" s="15"/>
      <c r="S22" s="15"/>
      <c r="T22" s="15"/>
      <c r="U22" s="15"/>
      <c r="V22" s="24">
        <f t="shared" si="5"/>
        <v>3</v>
      </c>
      <c r="W22" s="20">
        <f t="shared" si="6"/>
        <v>0</v>
      </c>
    </row>
    <row r="23" ht="15.75" customHeight="1">
      <c r="A23" s="23" t="s">
        <v>134</v>
      </c>
      <c r="B23" s="15"/>
      <c r="C23" s="15"/>
      <c r="D23" s="15"/>
      <c r="E23" s="15"/>
      <c r="F23" s="15"/>
      <c r="G23" s="15"/>
      <c r="H23" s="15"/>
      <c r="I23" s="15">
        <v>1.0</v>
      </c>
      <c r="J23" s="15">
        <v>1.0</v>
      </c>
      <c r="K23" s="15"/>
      <c r="L23" s="15"/>
      <c r="M23" s="15"/>
      <c r="N23" s="15"/>
      <c r="O23" s="15"/>
      <c r="P23" s="15"/>
      <c r="Q23" s="15"/>
      <c r="R23" s="15"/>
      <c r="S23" s="15"/>
      <c r="T23" s="15"/>
      <c r="U23" s="15"/>
      <c r="V23" s="24">
        <f t="shared" si="5"/>
        <v>2</v>
      </c>
      <c r="W23" s="20">
        <f t="shared" si="6"/>
        <v>0</v>
      </c>
    </row>
    <row r="24" ht="15.75" customHeight="1">
      <c r="A24" s="23" t="s">
        <v>135</v>
      </c>
      <c r="B24" s="15"/>
      <c r="C24" s="15"/>
      <c r="D24" s="15"/>
      <c r="E24" s="15"/>
      <c r="F24" s="15"/>
      <c r="G24" s="15"/>
      <c r="H24" s="15"/>
      <c r="I24" s="15"/>
      <c r="J24" s="15"/>
      <c r="K24" s="15"/>
      <c r="L24" s="15"/>
      <c r="M24" s="15"/>
      <c r="N24" s="15"/>
      <c r="O24" s="15"/>
      <c r="P24" s="15"/>
      <c r="Q24" s="15"/>
      <c r="R24" s="15"/>
      <c r="S24" s="15"/>
      <c r="T24" s="15"/>
      <c r="U24" s="15"/>
      <c r="V24" s="24">
        <f t="shared" si="5"/>
        <v>0</v>
      </c>
      <c r="W24" s="20">
        <f t="shared" si="6"/>
        <v>0</v>
      </c>
    </row>
    <row r="25" ht="15.75" customHeight="1">
      <c r="A25" s="23" t="s">
        <v>136</v>
      </c>
      <c r="B25" s="15"/>
      <c r="C25" s="15"/>
      <c r="D25" s="15"/>
      <c r="E25" s="15"/>
      <c r="F25" s="15"/>
      <c r="G25" s="15"/>
      <c r="H25" s="15"/>
      <c r="I25" s="15"/>
      <c r="J25" s="15"/>
      <c r="K25" s="15"/>
      <c r="L25" s="15"/>
      <c r="M25" s="15"/>
      <c r="N25" s="15"/>
      <c r="O25" s="15"/>
      <c r="P25" s="15"/>
      <c r="Q25" s="15"/>
      <c r="R25" s="15"/>
      <c r="S25" s="15"/>
      <c r="T25" s="15"/>
      <c r="U25" s="15"/>
      <c r="V25" s="24">
        <f t="shared" si="5"/>
        <v>0</v>
      </c>
      <c r="W25" s="20">
        <f t="shared" si="6"/>
        <v>0</v>
      </c>
    </row>
    <row r="26" ht="15.75" customHeight="1">
      <c r="A26" s="23" t="s">
        <v>104</v>
      </c>
      <c r="B26" s="15"/>
      <c r="C26" s="15"/>
      <c r="D26" s="15"/>
      <c r="E26" s="15"/>
      <c r="F26" s="15"/>
      <c r="G26" s="15"/>
      <c r="H26" s="15"/>
      <c r="I26" s="15"/>
      <c r="J26" s="15"/>
      <c r="K26" s="15"/>
      <c r="L26" s="15"/>
      <c r="M26" s="15"/>
      <c r="N26" s="15"/>
      <c r="O26" s="15"/>
      <c r="P26" s="15"/>
      <c r="Q26" s="15"/>
      <c r="R26" s="15"/>
      <c r="S26" s="15"/>
      <c r="T26" s="15"/>
      <c r="U26" s="15"/>
      <c r="V26" s="24">
        <f t="shared" si="5"/>
        <v>0</v>
      </c>
      <c r="W26" s="20">
        <f t="shared" si="6"/>
        <v>0</v>
      </c>
    </row>
    <row r="27" ht="15.75" customHeight="1">
      <c r="A27" s="23" t="s">
        <v>137</v>
      </c>
      <c r="B27" s="15">
        <v>1.0</v>
      </c>
      <c r="C27" s="15">
        <v>1.0</v>
      </c>
      <c r="D27" s="15">
        <v>1.0</v>
      </c>
      <c r="E27" s="15"/>
      <c r="F27" s="15"/>
      <c r="G27" s="15">
        <v>1.0</v>
      </c>
      <c r="H27" s="15"/>
      <c r="I27" s="15">
        <v>1.0</v>
      </c>
      <c r="J27" s="15"/>
      <c r="K27" s="15"/>
      <c r="L27" s="15"/>
      <c r="M27" s="15"/>
      <c r="N27" s="15"/>
      <c r="O27" s="15"/>
      <c r="P27" s="15"/>
      <c r="Q27" s="15"/>
      <c r="R27" s="15"/>
      <c r="S27" s="15"/>
      <c r="T27" s="15"/>
      <c r="U27" s="15"/>
      <c r="V27" s="24">
        <f t="shared" si="5"/>
        <v>5</v>
      </c>
      <c r="W27" s="20">
        <f t="shared" si="6"/>
        <v>0</v>
      </c>
    </row>
    <row r="28" ht="15.75" customHeight="1">
      <c r="A28" s="23" t="s">
        <v>101</v>
      </c>
      <c r="B28" s="15">
        <v>1.0</v>
      </c>
      <c r="C28" s="15">
        <v>1.0</v>
      </c>
      <c r="D28" s="15"/>
      <c r="E28" s="15">
        <v>1.0</v>
      </c>
      <c r="F28" s="15">
        <v>1.0</v>
      </c>
      <c r="G28" s="15">
        <v>1.0</v>
      </c>
      <c r="H28" s="15">
        <v>1.0</v>
      </c>
      <c r="I28" s="15"/>
      <c r="J28" s="15">
        <v>1.0</v>
      </c>
      <c r="K28" s="15">
        <v>1.0</v>
      </c>
      <c r="L28" s="15"/>
      <c r="M28" s="15"/>
      <c r="N28" s="15"/>
      <c r="O28" s="15"/>
      <c r="P28" s="15"/>
      <c r="Q28" s="15"/>
      <c r="R28" s="15"/>
      <c r="S28" s="15"/>
      <c r="T28" s="15"/>
      <c r="U28" s="15"/>
      <c r="V28" s="24">
        <f t="shared" si="5"/>
        <v>8</v>
      </c>
      <c r="W28" s="20">
        <f t="shared" si="6"/>
        <v>0</v>
      </c>
    </row>
    <row r="29" ht="15.75" customHeight="1">
      <c r="A29" s="23" t="s">
        <v>98</v>
      </c>
      <c r="B29" s="15">
        <v>1.0</v>
      </c>
      <c r="C29" s="15"/>
      <c r="D29" s="15"/>
      <c r="E29" s="15">
        <v>1.0</v>
      </c>
      <c r="F29" s="15">
        <v>1.0</v>
      </c>
      <c r="G29" s="15">
        <v>1.0</v>
      </c>
      <c r="H29" s="15">
        <v>1.0</v>
      </c>
      <c r="I29" s="15">
        <v>1.0</v>
      </c>
      <c r="J29" s="15">
        <v>1.0</v>
      </c>
      <c r="K29" s="15">
        <v>1.0</v>
      </c>
      <c r="L29" s="15"/>
      <c r="M29" s="15"/>
      <c r="N29" s="15"/>
      <c r="O29" s="15"/>
      <c r="P29" s="15"/>
      <c r="Q29" s="15"/>
      <c r="R29" s="15"/>
      <c r="S29" s="15"/>
      <c r="T29" s="15"/>
      <c r="U29" s="15"/>
      <c r="V29" s="24">
        <f t="shared" si="5"/>
        <v>8</v>
      </c>
      <c r="W29" s="20">
        <f t="shared" si="6"/>
        <v>0</v>
      </c>
    </row>
    <row r="30" ht="15.75" customHeight="1">
      <c r="A30" s="23" t="s">
        <v>138</v>
      </c>
      <c r="B30" s="15"/>
      <c r="C30" s="15"/>
      <c r="D30" s="15"/>
      <c r="E30" s="15"/>
      <c r="F30" s="15"/>
      <c r="G30" s="15"/>
      <c r="H30" s="15"/>
      <c r="I30" s="15"/>
      <c r="J30" s="15"/>
      <c r="K30" s="15"/>
      <c r="L30" s="15"/>
      <c r="M30" s="15"/>
      <c r="N30" s="15"/>
      <c r="O30" s="15"/>
      <c r="P30" s="15"/>
      <c r="Q30" s="15"/>
      <c r="R30" s="15"/>
      <c r="S30" s="15"/>
      <c r="T30" s="15"/>
      <c r="U30" s="15"/>
      <c r="V30" s="24">
        <f t="shared" si="5"/>
        <v>0</v>
      </c>
      <c r="W30" s="20">
        <f t="shared" si="6"/>
        <v>0</v>
      </c>
    </row>
    <row r="31" ht="15.75" customHeight="1">
      <c r="A31" s="23" t="s">
        <v>139</v>
      </c>
      <c r="B31" s="15"/>
      <c r="C31" s="15"/>
      <c r="D31" s="15"/>
      <c r="E31" s="15"/>
      <c r="F31" s="15"/>
      <c r="G31" s="15"/>
      <c r="H31" s="15"/>
      <c r="I31" s="15"/>
      <c r="J31" s="15"/>
      <c r="K31" s="15"/>
      <c r="L31" s="15"/>
      <c r="M31" s="15"/>
      <c r="N31" s="15"/>
      <c r="O31" s="15"/>
      <c r="P31" s="15"/>
      <c r="Q31" s="15"/>
      <c r="R31" s="15"/>
      <c r="S31" s="15"/>
      <c r="T31" s="15"/>
      <c r="U31" s="15"/>
      <c r="V31" s="24">
        <f t="shared" si="5"/>
        <v>0</v>
      </c>
      <c r="W31" s="20">
        <f t="shared" si="6"/>
        <v>0</v>
      </c>
    </row>
    <row r="32" ht="15.75" customHeight="1">
      <c r="A32" s="23" t="s">
        <v>140</v>
      </c>
      <c r="B32" s="15"/>
      <c r="C32" s="15"/>
      <c r="D32" s="15"/>
      <c r="E32" s="15"/>
      <c r="F32" s="15"/>
      <c r="G32" s="15"/>
      <c r="H32" s="15"/>
      <c r="I32" s="15"/>
      <c r="J32" s="15"/>
      <c r="K32" s="15"/>
      <c r="L32" s="15"/>
      <c r="M32" s="15"/>
      <c r="N32" s="15"/>
      <c r="O32" s="15"/>
      <c r="P32" s="15"/>
      <c r="Q32" s="15"/>
      <c r="R32" s="15"/>
      <c r="S32" s="15"/>
      <c r="T32" s="15"/>
      <c r="U32" s="15"/>
      <c r="V32" s="24">
        <f t="shared" si="5"/>
        <v>0</v>
      </c>
      <c r="W32" s="20">
        <f t="shared" si="6"/>
        <v>0</v>
      </c>
    </row>
    <row r="33" ht="15.75" customHeight="1">
      <c r="A33" s="23" t="s">
        <v>141</v>
      </c>
      <c r="B33" s="15"/>
      <c r="C33" s="15"/>
      <c r="D33" s="15"/>
      <c r="E33" s="15"/>
      <c r="F33" s="15"/>
      <c r="G33" s="15"/>
      <c r="H33" s="15"/>
      <c r="I33" s="15"/>
      <c r="J33" s="15"/>
      <c r="K33" s="15"/>
      <c r="L33" s="15"/>
      <c r="M33" s="15"/>
      <c r="N33" s="15"/>
      <c r="O33" s="15"/>
      <c r="P33" s="15"/>
      <c r="Q33" s="15"/>
      <c r="R33" s="15"/>
      <c r="S33" s="15"/>
      <c r="T33" s="15"/>
      <c r="U33" s="15"/>
      <c r="V33" s="24">
        <f t="shared" si="5"/>
        <v>0</v>
      </c>
      <c r="W33" s="20">
        <f t="shared" si="6"/>
        <v>0</v>
      </c>
    </row>
    <row r="34" ht="15.75" customHeight="1">
      <c r="A34" s="23" t="s">
        <v>105</v>
      </c>
      <c r="B34" s="15">
        <v>1.0</v>
      </c>
      <c r="C34" s="15">
        <v>1.0</v>
      </c>
      <c r="D34" s="15">
        <v>1.0</v>
      </c>
      <c r="E34" s="15">
        <v>1.0</v>
      </c>
      <c r="F34" s="15">
        <v>1.0</v>
      </c>
      <c r="G34" s="15">
        <v>1.0</v>
      </c>
      <c r="H34" s="15">
        <v>1.0</v>
      </c>
      <c r="I34" s="15"/>
      <c r="J34" s="15"/>
      <c r="K34" s="15">
        <v>1.0</v>
      </c>
      <c r="L34" s="15"/>
      <c r="M34" s="15"/>
      <c r="N34" s="15"/>
      <c r="O34" s="15"/>
      <c r="P34" s="15"/>
      <c r="Q34" s="15"/>
      <c r="R34" s="15"/>
      <c r="S34" s="15"/>
      <c r="T34" s="15"/>
      <c r="U34" s="15"/>
      <c r="V34" s="24">
        <f t="shared" si="5"/>
        <v>8</v>
      </c>
      <c r="W34" s="20">
        <f t="shared" si="6"/>
        <v>0</v>
      </c>
    </row>
    <row r="35" ht="15.75" customHeight="1">
      <c r="A35" s="23" t="s">
        <v>111</v>
      </c>
      <c r="B35" s="15"/>
      <c r="C35" s="15">
        <v>1.0</v>
      </c>
      <c r="D35" s="15">
        <v>1.0</v>
      </c>
      <c r="E35" s="15">
        <v>1.0</v>
      </c>
      <c r="F35" s="15">
        <v>1.0</v>
      </c>
      <c r="G35" s="15">
        <v>1.0</v>
      </c>
      <c r="H35" s="15">
        <v>1.0</v>
      </c>
      <c r="I35" s="15">
        <v>1.0</v>
      </c>
      <c r="J35" s="15">
        <v>1.0</v>
      </c>
      <c r="K35" s="15">
        <v>1.0</v>
      </c>
      <c r="L35" s="15"/>
      <c r="M35" s="15"/>
      <c r="N35" s="15"/>
      <c r="O35" s="15"/>
      <c r="P35" s="15"/>
      <c r="Q35" s="15"/>
      <c r="R35" s="15"/>
      <c r="S35" s="15"/>
      <c r="T35" s="15"/>
      <c r="U35" s="15"/>
      <c r="V35" s="24">
        <f t="shared" si="5"/>
        <v>9</v>
      </c>
      <c r="W35" s="20">
        <f t="shared" si="6"/>
        <v>0</v>
      </c>
    </row>
    <row r="36" ht="15.75" customHeight="1">
      <c r="A36" s="23" t="s">
        <v>102</v>
      </c>
      <c r="B36" s="15">
        <v>1.0</v>
      </c>
      <c r="C36" s="15">
        <v>1.0</v>
      </c>
      <c r="D36" s="15">
        <v>1.0</v>
      </c>
      <c r="E36" s="15">
        <v>1.0</v>
      </c>
      <c r="F36" s="15">
        <v>1.0</v>
      </c>
      <c r="G36" s="15">
        <v>1.0</v>
      </c>
      <c r="H36" s="15">
        <v>1.0</v>
      </c>
      <c r="I36" s="15">
        <v>1.0</v>
      </c>
      <c r="J36" s="15">
        <v>1.0</v>
      </c>
      <c r="K36" s="15">
        <v>1.0</v>
      </c>
      <c r="L36" s="15"/>
      <c r="M36" s="15"/>
      <c r="N36" s="15"/>
      <c r="O36" s="15"/>
      <c r="P36" s="15"/>
      <c r="Q36" s="15"/>
      <c r="R36" s="15"/>
      <c r="S36" s="15"/>
      <c r="T36" s="15"/>
      <c r="U36" s="15"/>
      <c r="V36" s="24">
        <f t="shared" si="5"/>
        <v>10</v>
      </c>
      <c r="W36" s="20">
        <f t="shared" si="6"/>
        <v>0</v>
      </c>
    </row>
    <row r="37" ht="15.75" customHeight="1">
      <c r="A37" s="23" t="s">
        <v>142</v>
      </c>
      <c r="B37" s="15"/>
      <c r="C37" s="15"/>
      <c r="D37" s="15"/>
      <c r="E37" s="15"/>
      <c r="F37" s="15"/>
      <c r="G37" s="15">
        <v>1.0</v>
      </c>
      <c r="H37" s="15"/>
      <c r="I37" s="15"/>
      <c r="J37" s="15"/>
      <c r="K37" s="15"/>
      <c r="L37" s="15"/>
      <c r="M37" s="15"/>
      <c r="N37" s="15"/>
      <c r="O37" s="15"/>
      <c r="P37" s="15"/>
      <c r="Q37" s="15"/>
      <c r="R37" s="15"/>
      <c r="S37" s="15"/>
      <c r="T37" s="15"/>
      <c r="U37" s="15"/>
      <c r="V37" s="24">
        <f t="shared" si="5"/>
        <v>1</v>
      </c>
      <c r="W37" s="20">
        <f t="shared" si="6"/>
        <v>0</v>
      </c>
    </row>
    <row r="38" ht="15.75" customHeight="1">
      <c r="A38" s="23" t="s">
        <v>99</v>
      </c>
      <c r="B38" s="15">
        <v>1.0</v>
      </c>
      <c r="C38" s="15"/>
      <c r="D38" s="15"/>
      <c r="E38" s="15">
        <v>1.0</v>
      </c>
      <c r="F38" s="15">
        <v>1.0</v>
      </c>
      <c r="G38" s="15">
        <v>1.0</v>
      </c>
      <c r="H38" s="15"/>
      <c r="I38" s="15"/>
      <c r="J38" s="15">
        <v>1.0</v>
      </c>
      <c r="K38" s="15">
        <v>1.0</v>
      </c>
      <c r="L38" s="15"/>
      <c r="M38" s="15"/>
      <c r="N38" s="15"/>
      <c r="O38" s="15"/>
      <c r="P38" s="15"/>
      <c r="Q38" s="15"/>
      <c r="R38" s="15"/>
      <c r="S38" s="15"/>
      <c r="T38" s="15"/>
      <c r="U38" s="15"/>
      <c r="V38" s="24">
        <f t="shared" si="5"/>
        <v>6</v>
      </c>
      <c r="W38" s="20">
        <f t="shared" si="6"/>
        <v>0</v>
      </c>
    </row>
    <row r="39" ht="15.75" customHeight="1">
      <c r="A39" s="23" t="s">
        <v>143</v>
      </c>
      <c r="B39" s="15"/>
      <c r="C39" s="15"/>
      <c r="D39" s="15"/>
      <c r="E39" s="15"/>
      <c r="F39" s="15"/>
      <c r="G39" s="15"/>
      <c r="H39" s="15"/>
      <c r="I39" s="15"/>
      <c r="J39" s="15"/>
      <c r="K39" s="15"/>
      <c r="L39" s="15"/>
      <c r="M39" s="15"/>
      <c r="N39" s="15"/>
      <c r="O39" s="15"/>
      <c r="P39" s="15"/>
      <c r="Q39" s="15"/>
      <c r="R39" s="15"/>
      <c r="S39" s="15"/>
      <c r="T39" s="15"/>
      <c r="U39" s="15"/>
      <c r="V39" s="24">
        <f t="shared" si="5"/>
        <v>0</v>
      </c>
      <c r="W39" s="20">
        <f t="shared" si="6"/>
        <v>0</v>
      </c>
    </row>
    <row r="40" ht="15.75" customHeight="1">
      <c r="A40" s="23"/>
      <c r="B40" s="15"/>
      <c r="C40" s="15"/>
      <c r="D40" s="15"/>
      <c r="E40" s="15"/>
      <c r="F40" s="15"/>
      <c r="G40" s="15"/>
      <c r="H40" s="15"/>
      <c r="I40" s="15"/>
      <c r="J40" s="15"/>
      <c r="K40" s="15"/>
      <c r="L40" s="15"/>
      <c r="M40" s="15"/>
      <c r="N40" s="15"/>
      <c r="O40" s="15"/>
      <c r="P40" s="15"/>
      <c r="Q40" s="15"/>
      <c r="R40" s="15"/>
      <c r="S40" s="15"/>
      <c r="T40" s="15"/>
      <c r="U40" s="15"/>
      <c r="V40" s="24">
        <f t="shared" si="5"/>
        <v>0</v>
      </c>
      <c r="W40" s="20">
        <f t="shared" si="6"/>
        <v>0</v>
      </c>
    </row>
    <row r="41" ht="15.75" customHeight="1">
      <c r="A41" s="23"/>
      <c r="B41" s="15"/>
      <c r="C41" s="15"/>
      <c r="D41" s="15"/>
      <c r="E41" s="15"/>
      <c r="F41" s="15"/>
      <c r="G41" s="15"/>
      <c r="H41" s="15"/>
      <c r="I41" s="15"/>
      <c r="J41" s="15"/>
      <c r="K41" s="15"/>
      <c r="L41" s="15"/>
      <c r="M41" s="15"/>
      <c r="N41" s="15"/>
      <c r="O41" s="15"/>
      <c r="P41" s="15"/>
      <c r="Q41" s="15"/>
      <c r="R41" s="15"/>
      <c r="S41" s="15"/>
      <c r="T41" s="15"/>
      <c r="U41" s="15"/>
      <c r="V41" s="24">
        <f t="shared" si="5"/>
        <v>0</v>
      </c>
      <c r="W41" s="20">
        <f t="shared" si="6"/>
        <v>0</v>
      </c>
    </row>
    <row r="42" ht="15.75" customHeight="1">
      <c r="A42" s="23"/>
      <c r="B42" s="15"/>
      <c r="C42" s="15"/>
      <c r="D42" s="15"/>
      <c r="E42" s="15"/>
      <c r="F42" s="15"/>
      <c r="G42" s="15"/>
      <c r="H42" s="15"/>
      <c r="I42" s="15"/>
      <c r="J42" s="15"/>
      <c r="K42" s="15"/>
      <c r="L42" s="15"/>
      <c r="M42" s="15"/>
      <c r="N42" s="15"/>
      <c r="O42" s="15"/>
      <c r="P42" s="15"/>
      <c r="Q42" s="15"/>
      <c r="R42" s="15"/>
      <c r="S42" s="15"/>
      <c r="T42" s="15"/>
      <c r="U42" s="15"/>
      <c r="V42" s="24">
        <f t="shared" si="5"/>
        <v>0</v>
      </c>
      <c r="W42" s="20">
        <f t="shared" si="6"/>
        <v>0</v>
      </c>
    </row>
    <row r="43" ht="15.75" customHeight="1">
      <c r="A43" s="23"/>
      <c r="B43" s="15"/>
      <c r="C43" s="15"/>
      <c r="D43" s="15"/>
      <c r="E43" s="15"/>
      <c r="F43" s="15"/>
      <c r="G43" s="15"/>
      <c r="H43" s="15"/>
      <c r="I43" s="15"/>
      <c r="J43" s="15"/>
      <c r="K43" s="15"/>
      <c r="L43" s="15"/>
      <c r="M43" s="15"/>
      <c r="N43" s="15"/>
      <c r="O43" s="15"/>
      <c r="P43" s="15"/>
      <c r="Q43" s="15"/>
      <c r="R43" s="15"/>
      <c r="S43" s="15"/>
      <c r="T43" s="15"/>
      <c r="U43" s="15"/>
      <c r="V43" s="24">
        <f t="shared" si="5"/>
        <v>0</v>
      </c>
      <c r="W43" s="20">
        <f t="shared" si="6"/>
        <v>0</v>
      </c>
    </row>
    <row r="44" ht="15.75" customHeight="1">
      <c r="A44" s="23"/>
      <c r="B44" s="15"/>
      <c r="C44" s="15"/>
      <c r="D44" s="15"/>
      <c r="E44" s="15"/>
      <c r="F44" s="15"/>
      <c r="G44" s="15"/>
      <c r="H44" s="15"/>
      <c r="I44" s="15"/>
      <c r="J44" s="15"/>
      <c r="K44" s="15"/>
      <c r="L44" s="15"/>
      <c r="M44" s="15"/>
      <c r="N44" s="15"/>
      <c r="O44" s="15"/>
      <c r="P44" s="15"/>
      <c r="Q44" s="15"/>
      <c r="R44" s="15"/>
      <c r="S44" s="15"/>
      <c r="T44" s="15"/>
      <c r="U44" s="15"/>
      <c r="V44" s="24">
        <f t="shared" si="5"/>
        <v>0</v>
      </c>
      <c r="W44" s="20">
        <f t="shared" si="6"/>
        <v>0</v>
      </c>
    </row>
    <row r="45" ht="15.75" customHeight="1">
      <c r="A45" s="23"/>
      <c r="B45" s="15"/>
      <c r="C45" s="15"/>
      <c r="D45" s="15"/>
      <c r="E45" s="15"/>
      <c r="F45" s="15"/>
      <c r="G45" s="15"/>
      <c r="H45" s="15"/>
      <c r="I45" s="15"/>
      <c r="J45" s="15"/>
      <c r="K45" s="15"/>
      <c r="L45" s="15"/>
      <c r="M45" s="15"/>
      <c r="N45" s="15"/>
      <c r="O45" s="15"/>
      <c r="P45" s="15"/>
      <c r="Q45" s="15"/>
      <c r="R45" s="15"/>
      <c r="S45" s="15"/>
      <c r="T45" s="15"/>
      <c r="U45" s="15"/>
      <c r="V45" s="24">
        <f t="shared" si="5"/>
        <v>0</v>
      </c>
      <c r="W45" s="20">
        <f t="shared" si="6"/>
        <v>0</v>
      </c>
    </row>
    <row r="46" ht="15.75" customHeight="1">
      <c r="A46" s="7" t="s">
        <v>144</v>
      </c>
      <c r="V46" s="24">
        <f t="shared" ref="V46:W46" si="7">SUM(V18:V45)</f>
        <v>68</v>
      </c>
      <c r="W46" s="25">
        <f t="shared" si="7"/>
        <v>0</v>
      </c>
    </row>
    <row r="47" ht="15.75" customHeight="1"/>
    <row r="48" ht="15.75" customHeight="1">
      <c r="A48" s="21" t="s">
        <v>146</v>
      </c>
      <c r="B48" s="22" t="s">
        <v>41</v>
      </c>
      <c r="C48" s="22" t="s">
        <v>42</v>
      </c>
      <c r="D48" s="22" t="s">
        <v>43</v>
      </c>
      <c r="E48" s="22" t="s">
        <v>44</v>
      </c>
      <c r="F48" s="22" t="s">
        <v>45</v>
      </c>
      <c r="G48" s="22" t="s">
        <v>46</v>
      </c>
      <c r="H48" s="22" t="s">
        <v>47</v>
      </c>
      <c r="I48" s="22" t="s">
        <v>48</v>
      </c>
      <c r="J48" s="22" t="s">
        <v>49</v>
      </c>
      <c r="K48" s="22" t="s">
        <v>50</v>
      </c>
      <c r="L48" s="22" t="s">
        <v>51</v>
      </c>
      <c r="M48" s="22" t="s">
        <v>52</v>
      </c>
      <c r="N48" s="22" t="s">
        <v>53</v>
      </c>
      <c r="O48" s="22" t="s">
        <v>54</v>
      </c>
      <c r="P48" s="22" t="s">
        <v>55</v>
      </c>
      <c r="Q48" s="22" t="s">
        <v>56</v>
      </c>
      <c r="R48" s="22" t="s">
        <v>57</v>
      </c>
      <c r="S48" s="22" t="s">
        <v>58</v>
      </c>
      <c r="T48" s="22" t="s">
        <v>59</v>
      </c>
      <c r="U48" s="22" t="s">
        <v>60</v>
      </c>
      <c r="V48" s="22" t="s">
        <v>147</v>
      </c>
    </row>
    <row r="49" ht="15.75" customHeight="1">
      <c r="A49" s="23" t="str">
        <f t="shared" ref="A49:A76" si="8">IF($A18="","",$A18)</f>
        <v>Ahmed</v>
      </c>
      <c r="B49" s="15"/>
      <c r="C49" s="15"/>
      <c r="D49" s="15"/>
      <c r="E49" s="15"/>
      <c r="F49" s="15"/>
      <c r="G49" s="15"/>
      <c r="H49" s="15"/>
      <c r="I49" s="15"/>
      <c r="J49" s="15"/>
      <c r="K49" s="15"/>
      <c r="L49" s="15"/>
      <c r="M49" s="15"/>
      <c r="N49" s="15"/>
      <c r="O49" s="15"/>
      <c r="P49" s="15"/>
      <c r="Q49" s="15"/>
      <c r="R49" s="15"/>
      <c r="S49" s="15"/>
      <c r="T49" s="15"/>
      <c r="U49" s="15"/>
      <c r="V49" s="24">
        <f t="shared" ref="V49:V76" si="9">SUMPRODUCT(B49:U49*($B$16:$U$16=""))</f>
        <v>0</v>
      </c>
    </row>
    <row r="50" ht="15.75" customHeight="1">
      <c r="A50" s="23" t="str">
        <f t="shared" si="8"/>
        <v>Alex Ruben</v>
      </c>
      <c r="B50" s="15"/>
      <c r="C50" s="15"/>
      <c r="D50" s="15"/>
      <c r="E50" s="15"/>
      <c r="F50" s="15"/>
      <c r="G50" s="15"/>
      <c r="H50" s="15"/>
      <c r="I50" s="15"/>
      <c r="J50" s="15"/>
      <c r="K50" s="15"/>
      <c r="L50" s="15"/>
      <c r="M50" s="15"/>
      <c r="N50" s="15"/>
      <c r="O50" s="15"/>
      <c r="P50" s="15"/>
      <c r="Q50" s="15"/>
      <c r="R50" s="15"/>
      <c r="S50" s="15"/>
      <c r="T50" s="15"/>
      <c r="U50" s="15"/>
      <c r="V50" s="24">
        <f t="shared" si="9"/>
        <v>0</v>
      </c>
    </row>
    <row r="51" ht="15.75" customHeight="1">
      <c r="A51" s="23" t="str">
        <f t="shared" si="8"/>
        <v>Andy Cowan</v>
      </c>
      <c r="B51" s="15"/>
      <c r="C51" s="15"/>
      <c r="D51" s="15"/>
      <c r="E51" s="15"/>
      <c r="F51" s="15"/>
      <c r="G51" s="15"/>
      <c r="H51" s="15">
        <v>1.0</v>
      </c>
      <c r="I51" s="15"/>
      <c r="J51" s="15"/>
      <c r="K51" s="15"/>
      <c r="L51" s="15"/>
      <c r="M51" s="15"/>
      <c r="N51" s="15"/>
      <c r="O51" s="15"/>
      <c r="P51" s="15"/>
      <c r="Q51" s="15"/>
      <c r="R51" s="15"/>
      <c r="S51" s="15"/>
      <c r="T51" s="15"/>
      <c r="U51" s="15"/>
      <c r="V51" s="24">
        <f t="shared" si="9"/>
        <v>1</v>
      </c>
    </row>
    <row r="52" ht="15.75" customHeight="1">
      <c r="A52" s="23" t="str">
        <f t="shared" si="8"/>
        <v>Ben Merrett</v>
      </c>
      <c r="B52" s="15"/>
      <c r="C52" s="15"/>
      <c r="D52" s="15"/>
      <c r="E52" s="15"/>
      <c r="F52" s="15"/>
      <c r="G52" s="15"/>
      <c r="H52" s="15">
        <v>1.0</v>
      </c>
      <c r="I52" s="15"/>
      <c r="J52" s="15"/>
      <c r="K52" s="15"/>
      <c r="L52" s="15"/>
      <c r="M52" s="15"/>
      <c r="N52" s="15"/>
      <c r="O52" s="15"/>
      <c r="P52" s="15"/>
      <c r="Q52" s="15"/>
      <c r="R52" s="15"/>
      <c r="S52" s="15"/>
      <c r="T52" s="15"/>
      <c r="U52" s="15"/>
      <c r="V52" s="24">
        <f t="shared" si="9"/>
        <v>1</v>
      </c>
    </row>
    <row r="53" ht="15.75" customHeight="1">
      <c r="A53" s="23" t="str">
        <f t="shared" si="8"/>
        <v>Callum McCarthy</v>
      </c>
      <c r="B53" s="15"/>
      <c r="C53" s="15">
        <v>2.0</v>
      </c>
      <c r="D53" s="15"/>
      <c r="E53" s="15"/>
      <c r="F53" s="15"/>
      <c r="G53" s="15"/>
      <c r="H53" s="15"/>
      <c r="I53" s="15"/>
      <c r="J53" s="15"/>
      <c r="K53" s="15"/>
      <c r="L53" s="15"/>
      <c r="M53" s="15"/>
      <c r="N53" s="15"/>
      <c r="O53" s="15"/>
      <c r="P53" s="15"/>
      <c r="Q53" s="15"/>
      <c r="R53" s="15"/>
      <c r="S53" s="15"/>
      <c r="T53" s="15"/>
      <c r="U53" s="15"/>
      <c r="V53" s="24">
        <f t="shared" si="9"/>
        <v>2</v>
      </c>
    </row>
    <row r="54" ht="15.75" customHeight="1">
      <c r="A54" s="23" t="str">
        <f t="shared" si="8"/>
        <v>Cecil Watson</v>
      </c>
      <c r="B54" s="15"/>
      <c r="C54" s="15"/>
      <c r="D54" s="15"/>
      <c r="E54" s="15"/>
      <c r="F54" s="15"/>
      <c r="G54" s="15"/>
      <c r="H54" s="15"/>
      <c r="I54" s="15"/>
      <c r="J54" s="15"/>
      <c r="K54" s="15"/>
      <c r="L54" s="15"/>
      <c r="M54" s="15"/>
      <c r="N54" s="15"/>
      <c r="O54" s="15"/>
      <c r="P54" s="15"/>
      <c r="Q54" s="15"/>
      <c r="R54" s="15"/>
      <c r="S54" s="15"/>
      <c r="T54" s="15"/>
      <c r="U54" s="15"/>
      <c r="V54" s="24">
        <f t="shared" si="9"/>
        <v>0</v>
      </c>
    </row>
    <row r="55" ht="15.75" customHeight="1">
      <c r="A55" s="23" t="str">
        <f t="shared" si="8"/>
        <v>Conall Templeman</v>
      </c>
      <c r="B55" s="15"/>
      <c r="C55" s="15"/>
      <c r="D55" s="15"/>
      <c r="E55" s="15"/>
      <c r="F55" s="15"/>
      <c r="G55" s="15"/>
      <c r="H55" s="15"/>
      <c r="I55" s="15"/>
      <c r="J55" s="15"/>
      <c r="K55" s="15"/>
      <c r="L55" s="15"/>
      <c r="M55" s="15"/>
      <c r="N55" s="15"/>
      <c r="O55" s="15"/>
      <c r="P55" s="15"/>
      <c r="Q55" s="15"/>
      <c r="R55" s="15"/>
      <c r="S55" s="15"/>
      <c r="T55" s="15"/>
      <c r="U55" s="15"/>
      <c r="V55" s="24">
        <f t="shared" si="9"/>
        <v>0</v>
      </c>
    </row>
    <row r="56" ht="15.75" customHeight="1">
      <c r="A56" s="23" t="str">
        <f t="shared" si="8"/>
        <v>Eddie Ringer</v>
      </c>
      <c r="B56" s="15"/>
      <c r="C56" s="15"/>
      <c r="D56" s="15"/>
      <c r="E56" s="15"/>
      <c r="F56" s="15"/>
      <c r="G56" s="15"/>
      <c r="H56" s="15"/>
      <c r="I56" s="15"/>
      <c r="J56" s="15"/>
      <c r="K56" s="15"/>
      <c r="L56" s="15"/>
      <c r="M56" s="15"/>
      <c r="N56" s="15"/>
      <c r="O56" s="15"/>
      <c r="P56" s="15"/>
      <c r="Q56" s="15"/>
      <c r="R56" s="15"/>
      <c r="S56" s="15"/>
      <c r="T56" s="15"/>
      <c r="U56" s="15"/>
      <c r="V56" s="24">
        <f t="shared" si="9"/>
        <v>0</v>
      </c>
    </row>
    <row r="57" ht="15.75" customHeight="1">
      <c r="A57" s="23" t="str">
        <f t="shared" si="8"/>
        <v>Finn Cawley</v>
      </c>
      <c r="B57" s="15"/>
      <c r="C57" s="15"/>
      <c r="D57" s="15"/>
      <c r="E57" s="15"/>
      <c r="F57" s="15"/>
      <c r="G57" s="15"/>
      <c r="H57" s="15"/>
      <c r="I57" s="15"/>
      <c r="J57" s="15"/>
      <c r="K57" s="15"/>
      <c r="L57" s="15"/>
      <c r="M57" s="15"/>
      <c r="N57" s="15"/>
      <c r="O57" s="15"/>
      <c r="P57" s="15"/>
      <c r="Q57" s="15"/>
      <c r="R57" s="15"/>
      <c r="S57" s="15"/>
      <c r="T57" s="15"/>
      <c r="U57" s="15"/>
      <c r="V57" s="24">
        <f t="shared" si="9"/>
        <v>0</v>
      </c>
    </row>
    <row r="58" ht="15.75" customHeight="1">
      <c r="A58" s="23" t="str">
        <f t="shared" si="8"/>
        <v>George Barbantan</v>
      </c>
      <c r="B58" s="15">
        <v>1.0</v>
      </c>
      <c r="C58" s="15"/>
      <c r="D58" s="15">
        <v>1.0</v>
      </c>
      <c r="E58" s="15"/>
      <c r="F58" s="15"/>
      <c r="G58" s="15">
        <v>1.0</v>
      </c>
      <c r="H58" s="15"/>
      <c r="I58" s="15"/>
      <c r="J58" s="15"/>
      <c r="K58" s="15"/>
      <c r="L58" s="15"/>
      <c r="M58" s="15"/>
      <c r="N58" s="15"/>
      <c r="O58" s="15"/>
      <c r="P58" s="15"/>
      <c r="Q58" s="15"/>
      <c r="R58" s="15"/>
      <c r="S58" s="15"/>
      <c r="T58" s="15"/>
      <c r="U58" s="15"/>
      <c r="V58" s="24">
        <f t="shared" si="9"/>
        <v>3</v>
      </c>
    </row>
    <row r="59" ht="15.75" customHeight="1">
      <c r="A59" s="23" t="str">
        <f t="shared" si="8"/>
        <v>Henry Linklater</v>
      </c>
      <c r="B59" s="15"/>
      <c r="C59" s="15"/>
      <c r="D59" s="15"/>
      <c r="E59" s="15"/>
      <c r="F59" s="15"/>
      <c r="G59" s="15"/>
      <c r="H59" s="15"/>
      <c r="I59" s="15"/>
      <c r="J59" s="15"/>
      <c r="K59" s="15"/>
      <c r="L59" s="15"/>
      <c r="M59" s="15"/>
      <c r="N59" s="15"/>
      <c r="O59" s="15"/>
      <c r="P59" s="15"/>
      <c r="Q59" s="15"/>
      <c r="R59" s="15"/>
      <c r="S59" s="15"/>
      <c r="T59" s="15"/>
      <c r="U59" s="15"/>
      <c r="V59" s="24">
        <f t="shared" si="9"/>
        <v>0</v>
      </c>
    </row>
    <row r="60" ht="15.75" customHeight="1">
      <c r="A60" s="23" t="str">
        <f t="shared" si="8"/>
        <v>Isaac Mond</v>
      </c>
      <c r="B60" s="15"/>
      <c r="C60" s="15"/>
      <c r="D60" s="15"/>
      <c r="E60" s="15"/>
      <c r="F60" s="15"/>
      <c r="G60" s="15"/>
      <c r="H60" s="15">
        <v>1.0</v>
      </c>
      <c r="I60" s="15"/>
      <c r="J60" s="15"/>
      <c r="K60" s="15"/>
      <c r="L60" s="15"/>
      <c r="M60" s="15"/>
      <c r="N60" s="15"/>
      <c r="O60" s="15"/>
      <c r="P60" s="15"/>
      <c r="Q60" s="15"/>
      <c r="R60" s="15"/>
      <c r="S60" s="15"/>
      <c r="T60" s="15"/>
      <c r="U60" s="15"/>
      <c r="V60" s="24">
        <f t="shared" si="9"/>
        <v>1</v>
      </c>
    </row>
    <row r="61" ht="15.75" customHeight="1">
      <c r="A61" s="23" t="str">
        <f t="shared" si="8"/>
        <v>Jake Harrison</v>
      </c>
      <c r="B61" s="15"/>
      <c r="C61" s="15"/>
      <c r="D61" s="15"/>
      <c r="E61" s="15"/>
      <c r="F61" s="15"/>
      <c r="G61" s="15"/>
      <c r="H61" s="15"/>
      <c r="I61" s="15"/>
      <c r="J61" s="15"/>
      <c r="K61" s="15"/>
      <c r="L61" s="15"/>
      <c r="M61" s="15"/>
      <c r="N61" s="15"/>
      <c r="O61" s="15"/>
      <c r="P61" s="15"/>
      <c r="Q61" s="15"/>
      <c r="R61" s="15"/>
      <c r="S61" s="15"/>
      <c r="T61" s="15"/>
      <c r="U61" s="15"/>
      <c r="V61" s="24">
        <f t="shared" si="9"/>
        <v>0</v>
      </c>
    </row>
    <row r="62" ht="15.75" customHeight="1">
      <c r="A62" s="23" t="str">
        <f t="shared" si="8"/>
        <v>Jake Ringer</v>
      </c>
      <c r="B62" s="15"/>
      <c r="C62" s="15"/>
      <c r="D62" s="15"/>
      <c r="E62" s="15"/>
      <c r="F62" s="15"/>
      <c r="G62" s="15"/>
      <c r="H62" s="15"/>
      <c r="I62" s="15"/>
      <c r="J62" s="15"/>
      <c r="K62" s="15"/>
      <c r="L62" s="15"/>
      <c r="M62" s="15"/>
      <c r="N62" s="15"/>
      <c r="O62" s="15"/>
      <c r="P62" s="15"/>
      <c r="Q62" s="15"/>
      <c r="R62" s="15"/>
      <c r="S62" s="15"/>
      <c r="T62" s="15"/>
      <c r="U62" s="15"/>
      <c r="V62" s="24">
        <f t="shared" si="9"/>
        <v>0</v>
      </c>
    </row>
    <row r="63" ht="15.75" customHeight="1">
      <c r="A63" s="23" t="str">
        <f t="shared" si="8"/>
        <v>Keshav Singh</v>
      </c>
      <c r="B63" s="15"/>
      <c r="C63" s="15"/>
      <c r="D63" s="15"/>
      <c r="E63" s="15"/>
      <c r="F63" s="15"/>
      <c r="G63" s="15"/>
      <c r="H63" s="15"/>
      <c r="I63" s="15"/>
      <c r="J63" s="15"/>
      <c r="K63" s="15"/>
      <c r="L63" s="15"/>
      <c r="M63" s="15"/>
      <c r="N63" s="15"/>
      <c r="O63" s="15"/>
      <c r="P63" s="15"/>
      <c r="Q63" s="15"/>
      <c r="R63" s="15"/>
      <c r="S63" s="15"/>
      <c r="T63" s="15"/>
      <c r="U63" s="15"/>
      <c r="V63" s="24">
        <f t="shared" si="9"/>
        <v>0</v>
      </c>
    </row>
    <row r="64" ht="15.75" customHeight="1">
      <c r="A64" s="23" t="str">
        <f t="shared" si="8"/>
        <v>Mark Pellowe</v>
      </c>
      <c r="B64" s="15"/>
      <c r="C64" s="15"/>
      <c r="D64" s="15"/>
      <c r="E64" s="15"/>
      <c r="F64" s="15"/>
      <c r="G64" s="15"/>
      <c r="H64" s="15"/>
      <c r="I64" s="15"/>
      <c r="J64" s="15"/>
      <c r="K64" s="15"/>
      <c r="L64" s="15"/>
      <c r="M64" s="15"/>
      <c r="N64" s="15"/>
      <c r="O64" s="15"/>
      <c r="P64" s="15"/>
      <c r="Q64" s="15"/>
      <c r="R64" s="15"/>
      <c r="S64" s="15"/>
      <c r="T64" s="15"/>
      <c r="U64" s="15"/>
      <c r="V64" s="24">
        <f t="shared" si="9"/>
        <v>0</v>
      </c>
    </row>
    <row r="65" ht="15.75" customHeight="1">
      <c r="A65" s="23" t="str">
        <f t="shared" si="8"/>
        <v>Max Cobain</v>
      </c>
      <c r="B65" s="15">
        <v>1.0</v>
      </c>
      <c r="C65" s="15">
        <v>1.0</v>
      </c>
      <c r="D65" s="15"/>
      <c r="E65" s="15"/>
      <c r="F65" s="15">
        <v>1.0</v>
      </c>
      <c r="G65" s="15"/>
      <c r="H65" s="15"/>
      <c r="I65" s="15"/>
      <c r="J65" s="15"/>
      <c r="K65" s="15">
        <v>1.0</v>
      </c>
      <c r="L65" s="15"/>
      <c r="M65" s="15"/>
      <c r="N65" s="15"/>
      <c r="O65" s="15"/>
      <c r="P65" s="15"/>
      <c r="Q65" s="15"/>
      <c r="R65" s="15"/>
      <c r="S65" s="15"/>
      <c r="T65" s="15"/>
      <c r="U65" s="15"/>
      <c r="V65" s="24">
        <f t="shared" si="9"/>
        <v>4</v>
      </c>
    </row>
    <row r="66" ht="15.75" customHeight="1">
      <c r="A66" s="23" t="str">
        <f t="shared" si="8"/>
        <v>Neeraj Radia</v>
      </c>
      <c r="B66" s="15"/>
      <c r="C66" s="15">
        <v>1.0</v>
      </c>
      <c r="D66" s="15"/>
      <c r="E66" s="15"/>
      <c r="F66" s="15"/>
      <c r="G66" s="15"/>
      <c r="H66" s="15"/>
      <c r="I66" s="15"/>
      <c r="J66" s="15"/>
      <c r="K66" s="15"/>
      <c r="L66" s="15"/>
      <c r="M66" s="15"/>
      <c r="N66" s="15"/>
      <c r="O66" s="15"/>
      <c r="P66" s="15"/>
      <c r="Q66" s="15"/>
      <c r="R66" s="15"/>
      <c r="S66" s="15"/>
      <c r="T66" s="15"/>
      <c r="U66" s="15"/>
      <c r="V66" s="24">
        <f t="shared" si="9"/>
        <v>1</v>
      </c>
    </row>
    <row r="67" ht="15.75" customHeight="1">
      <c r="A67" s="23" t="str">
        <f t="shared" si="8"/>
        <v>Phil Knott</v>
      </c>
      <c r="B67" s="15"/>
      <c r="C67" s="15"/>
      <c r="D67" s="15"/>
      <c r="E67" s="15"/>
      <c r="F67" s="15">
        <v>1.0</v>
      </c>
      <c r="G67" s="15"/>
      <c r="H67" s="15"/>
      <c r="I67" s="15">
        <v>2.0</v>
      </c>
      <c r="J67" s="15">
        <v>1.0</v>
      </c>
      <c r="K67" s="15"/>
      <c r="L67" s="15"/>
      <c r="M67" s="15"/>
      <c r="N67" s="15"/>
      <c r="O67" s="15"/>
      <c r="P67" s="15"/>
      <c r="Q67" s="15"/>
      <c r="R67" s="15"/>
      <c r="S67" s="15"/>
      <c r="T67" s="15"/>
      <c r="U67" s="15"/>
      <c r="V67" s="24">
        <f t="shared" si="9"/>
        <v>4</v>
      </c>
    </row>
    <row r="68" ht="15.75" customHeight="1">
      <c r="A68" s="23" t="str">
        <f t="shared" si="8"/>
        <v>Robin</v>
      </c>
      <c r="B68" s="15"/>
      <c r="C68" s="15"/>
      <c r="D68" s="15"/>
      <c r="E68" s="15"/>
      <c r="F68" s="15"/>
      <c r="G68" s="15">
        <v>1.0</v>
      </c>
      <c r="H68" s="15"/>
      <c r="I68" s="15"/>
      <c r="J68" s="15"/>
      <c r="K68" s="15"/>
      <c r="L68" s="15"/>
      <c r="M68" s="15"/>
      <c r="N68" s="15"/>
      <c r="O68" s="15"/>
      <c r="P68" s="15"/>
      <c r="Q68" s="15"/>
      <c r="R68" s="15"/>
      <c r="S68" s="15"/>
      <c r="T68" s="15"/>
      <c r="U68" s="15"/>
      <c r="V68" s="24">
        <f t="shared" si="9"/>
        <v>1</v>
      </c>
    </row>
    <row r="69" ht="15.75" customHeight="1">
      <c r="A69" s="23" t="str">
        <f t="shared" si="8"/>
        <v>Sam Holt</v>
      </c>
      <c r="B69" s="15">
        <v>1.0</v>
      </c>
      <c r="C69" s="15"/>
      <c r="D69" s="15"/>
      <c r="E69" s="15"/>
      <c r="F69" s="15"/>
      <c r="G69" s="15">
        <v>2.0</v>
      </c>
      <c r="H69" s="15"/>
      <c r="I69" s="15"/>
      <c r="J69" s="15">
        <v>2.0</v>
      </c>
      <c r="K69" s="15"/>
      <c r="L69" s="15"/>
      <c r="M69" s="15"/>
      <c r="N69" s="15"/>
      <c r="O69" s="15"/>
      <c r="P69" s="15"/>
      <c r="Q69" s="15"/>
      <c r="R69" s="15"/>
      <c r="S69" s="15"/>
      <c r="T69" s="15"/>
      <c r="U69" s="15"/>
      <c r="V69" s="24">
        <f t="shared" si="9"/>
        <v>5</v>
      </c>
    </row>
    <row r="70" ht="15.75" customHeight="1">
      <c r="A70" s="23" t="str">
        <f t="shared" si="8"/>
        <v>Seb Burgess</v>
      </c>
      <c r="B70" s="15"/>
      <c r="C70" s="15"/>
      <c r="D70" s="15"/>
      <c r="E70" s="15"/>
      <c r="F70" s="15"/>
      <c r="G70" s="15"/>
      <c r="H70" s="15"/>
      <c r="I70" s="15"/>
      <c r="J70" s="15"/>
      <c r="K70" s="15"/>
      <c r="L70" s="15"/>
      <c r="M70" s="15"/>
      <c r="N70" s="15"/>
      <c r="O70" s="15"/>
      <c r="P70" s="15"/>
      <c r="Q70" s="15"/>
      <c r="R70" s="15"/>
      <c r="S70" s="15"/>
      <c r="T70" s="15"/>
      <c r="U70" s="15"/>
      <c r="V70" s="24">
        <f t="shared" si="9"/>
        <v>0</v>
      </c>
    </row>
    <row r="71" ht="15.75" customHeight="1">
      <c r="A71" s="23" t="str">
        <f t="shared" si="8"/>
        <v/>
      </c>
      <c r="B71" s="15"/>
      <c r="C71" s="15"/>
      <c r="D71" s="15"/>
      <c r="E71" s="15"/>
      <c r="F71" s="15"/>
      <c r="G71" s="15"/>
      <c r="H71" s="15"/>
      <c r="I71" s="15"/>
      <c r="J71" s="15"/>
      <c r="K71" s="15"/>
      <c r="L71" s="15"/>
      <c r="M71" s="15"/>
      <c r="N71" s="15"/>
      <c r="O71" s="15"/>
      <c r="P71" s="15"/>
      <c r="Q71" s="15"/>
      <c r="R71" s="15"/>
      <c r="S71" s="15"/>
      <c r="T71" s="15"/>
      <c r="U71" s="15"/>
      <c r="V71" s="24">
        <f t="shared" si="9"/>
        <v>0</v>
      </c>
    </row>
    <row r="72" ht="15.75" customHeight="1">
      <c r="A72" s="23" t="str">
        <f t="shared" si="8"/>
        <v/>
      </c>
      <c r="B72" s="15"/>
      <c r="C72" s="15"/>
      <c r="D72" s="15"/>
      <c r="E72" s="15"/>
      <c r="F72" s="15"/>
      <c r="G72" s="15"/>
      <c r="H72" s="15"/>
      <c r="I72" s="15"/>
      <c r="J72" s="15"/>
      <c r="K72" s="15"/>
      <c r="L72" s="15"/>
      <c r="M72" s="15"/>
      <c r="N72" s="15"/>
      <c r="O72" s="15"/>
      <c r="P72" s="15"/>
      <c r="Q72" s="15"/>
      <c r="R72" s="15"/>
      <c r="S72" s="15"/>
      <c r="T72" s="15"/>
      <c r="U72" s="15"/>
      <c r="V72" s="24">
        <f t="shared" si="9"/>
        <v>0</v>
      </c>
    </row>
    <row r="73" ht="15.75" customHeight="1">
      <c r="A73" s="23" t="str">
        <f t="shared" si="8"/>
        <v/>
      </c>
      <c r="B73" s="15"/>
      <c r="C73" s="15"/>
      <c r="D73" s="15"/>
      <c r="E73" s="15"/>
      <c r="F73" s="15"/>
      <c r="G73" s="15"/>
      <c r="H73" s="15"/>
      <c r="I73" s="15"/>
      <c r="J73" s="15"/>
      <c r="K73" s="15"/>
      <c r="L73" s="15"/>
      <c r="M73" s="15"/>
      <c r="N73" s="15"/>
      <c r="O73" s="15"/>
      <c r="P73" s="15"/>
      <c r="Q73" s="15"/>
      <c r="R73" s="15"/>
      <c r="S73" s="15"/>
      <c r="T73" s="15"/>
      <c r="U73" s="15"/>
      <c r="V73" s="24">
        <f t="shared" si="9"/>
        <v>0</v>
      </c>
    </row>
    <row r="74" ht="15.75" customHeight="1">
      <c r="A74" s="23" t="str">
        <f t="shared" si="8"/>
        <v/>
      </c>
      <c r="B74" s="15"/>
      <c r="C74" s="15"/>
      <c r="D74" s="15"/>
      <c r="E74" s="15"/>
      <c r="F74" s="15"/>
      <c r="G74" s="15"/>
      <c r="H74" s="15"/>
      <c r="I74" s="15"/>
      <c r="J74" s="15"/>
      <c r="K74" s="15"/>
      <c r="L74" s="15"/>
      <c r="M74" s="15"/>
      <c r="N74" s="15"/>
      <c r="O74" s="15"/>
      <c r="P74" s="15"/>
      <c r="Q74" s="15"/>
      <c r="R74" s="15"/>
      <c r="S74" s="15"/>
      <c r="T74" s="15"/>
      <c r="U74" s="15"/>
      <c r="V74" s="24">
        <f t="shared" si="9"/>
        <v>0</v>
      </c>
    </row>
    <row r="75" ht="15.75" customHeight="1">
      <c r="A75" s="23" t="str">
        <f t="shared" si="8"/>
        <v/>
      </c>
      <c r="B75" s="15"/>
      <c r="C75" s="15"/>
      <c r="D75" s="15"/>
      <c r="E75" s="15"/>
      <c r="F75" s="15"/>
      <c r="G75" s="15"/>
      <c r="H75" s="15"/>
      <c r="I75" s="15"/>
      <c r="J75" s="15"/>
      <c r="K75" s="15"/>
      <c r="L75" s="15"/>
      <c r="M75" s="15"/>
      <c r="N75" s="15"/>
      <c r="O75" s="15"/>
      <c r="P75" s="15"/>
      <c r="Q75" s="15"/>
      <c r="R75" s="15"/>
      <c r="S75" s="15"/>
      <c r="T75" s="15"/>
      <c r="U75" s="15"/>
      <c r="V75" s="24">
        <f t="shared" si="9"/>
        <v>0</v>
      </c>
    </row>
    <row r="76" ht="15.75" customHeight="1">
      <c r="A76" s="23" t="str">
        <f t="shared" si="8"/>
        <v/>
      </c>
      <c r="B76" s="15"/>
      <c r="C76" s="15"/>
      <c r="D76" s="15"/>
      <c r="E76" s="15"/>
      <c r="F76" s="15"/>
      <c r="G76" s="15"/>
      <c r="H76" s="15"/>
      <c r="I76" s="15"/>
      <c r="J76" s="15"/>
      <c r="K76" s="15"/>
      <c r="L76" s="15"/>
      <c r="M76" s="15"/>
      <c r="N76" s="15"/>
      <c r="O76" s="15"/>
      <c r="P76" s="15"/>
      <c r="Q76" s="15"/>
      <c r="R76" s="15"/>
      <c r="S76" s="15"/>
      <c r="T76" s="15"/>
      <c r="U76" s="15"/>
      <c r="V76" s="24">
        <f t="shared" si="9"/>
        <v>0</v>
      </c>
    </row>
    <row r="77" ht="15.75" customHeight="1">
      <c r="A77" s="7" t="s">
        <v>144</v>
      </c>
      <c r="V77" s="24">
        <f>SUM(V49:V76)</f>
        <v>23</v>
      </c>
    </row>
    <row r="78" ht="15.75" customHeight="1"/>
    <row r="79" ht="15.75" customHeight="1">
      <c r="A79" s="21" t="s">
        <v>148</v>
      </c>
      <c r="B79" s="22" t="s">
        <v>41</v>
      </c>
      <c r="C79" s="22" t="s">
        <v>42</v>
      </c>
      <c r="D79" s="22" t="s">
        <v>43</v>
      </c>
      <c r="E79" s="22" t="s">
        <v>44</v>
      </c>
      <c r="F79" s="22" t="s">
        <v>45</v>
      </c>
      <c r="G79" s="22" t="s">
        <v>46</v>
      </c>
      <c r="H79" s="22" t="s">
        <v>47</v>
      </c>
      <c r="I79" s="22" t="s">
        <v>48</v>
      </c>
      <c r="J79" s="22" t="s">
        <v>49</v>
      </c>
      <c r="K79" s="22" t="s">
        <v>50</v>
      </c>
      <c r="L79" s="22" t="s">
        <v>51</v>
      </c>
      <c r="M79" s="22" t="s">
        <v>52</v>
      </c>
      <c r="N79" s="22" t="s">
        <v>53</v>
      </c>
      <c r="O79" s="22" t="s">
        <v>54</v>
      </c>
      <c r="P79" s="22" t="s">
        <v>55</v>
      </c>
      <c r="Q79" s="22" t="s">
        <v>56</v>
      </c>
      <c r="R79" s="22" t="s">
        <v>57</v>
      </c>
      <c r="S79" s="22" t="s">
        <v>58</v>
      </c>
      <c r="T79" s="22" t="s">
        <v>59</v>
      </c>
      <c r="U79" s="22" t="s">
        <v>60</v>
      </c>
      <c r="V79" s="22" t="s">
        <v>149</v>
      </c>
    </row>
    <row r="80" ht="15.75" customHeight="1">
      <c r="A80" s="23" t="str">
        <f t="shared" ref="A80:A107" si="10">IF($A18="","",$A18)</f>
        <v>Ahmed</v>
      </c>
      <c r="B80" s="15"/>
      <c r="C80" s="15"/>
      <c r="D80" s="15"/>
      <c r="E80" s="15"/>
      <c r="F80" s="15"/>
      <c r="G80" s="15"/>
      <c r="H80" s="15"/>
      <c r="I80" s="15"/>
      <c r="J80" s="15"/>
      <c r="K80" s="15"/>
      <c r="L80" s="15"/>
      <c r="M80" s="15"/>
      <c r="N80" s="15"/>
      <c r="O80" s="15"/>
      <c r="P80" s="15"/>
      <c r="Q80" s="15"/>
      <c r="R80" s="15"/>
      <c r="S80" s="15"/>
      <c r="T80" s="15"/>
      <c r="U80" s="15"/>
      <c r="V80" s="24">
        <f t="shared" ref="V80:V107" si="11">SUMPRODUCT(B80:U80*($B$16:$U$16=""))</f>
        <v>0</v>
      </c>
    </row>
    <row r="81" ht="15.75" customHeight="1">
      <c r="A81" s="23" t="str">
        <f t="shared" si="10"/>
        <v>Alex Ruben</v>
      </c>
      <c r="B81" s="15"/>
      <c r="C81" s="15"/>
      <c r="D81" s="15"/>
      <c r="E81" s="15"/>
      <c r="F81" s="15"/>
      <c r="G81" s="15"/>
      <c r="H81" s="15"/>
      <c r="I81" s="15"/>
      <c r="J81" s="15"/>
      <c r="K81" s="15"/>
      <c r="L81" s="15"/>
      <c r="M81" s="15"/>
      <c r="N81" s="15"/>
      <c r="O81" s="15"/>
      <c r="P81" s="15"/>
      <c r="Q81" s="15"/>
      <c r="R81" s="15"/>
      <c r="S81" s="15"/>
      <c r="T81" s="15"/>
      <c r="U81" s="15"/>
      <c r="V81" s="24">
        <f t="shared" si="11"/>
        <v>0</v>
      </c>
    </row>
    <row r="82" ht="15.75" customHeight="1">
      <c r="A82" s="23" t="str">
        <f t="shared" si="10"/>
        <v>Andy Cowan</v>
      </c>
      <c r="B82" s="15"/>
      <c r="C82" s="15"/>
      <c r="D82" s="15"/>
      <c r="E82" s="15"/>
      <c r="F82" s="15"/>
      <c r="G82" s="15"/>
      <c r="H82" s="15"/>
      <c r="I82" s="15"/>
      <c r="J82" s="15"/>
      <c r="K82" s="15"/>
      <c r="L82" s="15"/>
      <c r="M82" s="15"/>
      <c r="N82" s="15"/>
      <c r="O82" s="15"/>
      <c r="P82" s="15"/>
      <c r="Q82" s="15"/>
      <c r="R82" s="15"/>
      <c r="S82" s="15"/>
      <c r="T82" s="15"/>
      <c r="U82" s="15"/>
      <c r="V82" s="24">
        <f t="shared" si="11"/>
        <v>0</v>
      </c>
    </row>
    <row r="83" ht="15.75" customHeight="1">
      <c r="A83" s="23" t="str">
        <f t="shared" si="10"/>
        <v>Ben Merrett</v>
      </c>
      <c r="B83" s="15"/>
      <c r="C83" s="15"/>
      <c r="D83" s="15"/>
      <c r="E83" s="15"/>
      <c r="F83" s="15">
        <v>2.0</v>
      </c>
      <c r="G83" s="15"/>
      <c r="H83" s="15"/>
      <c r="I83" s="15"/>
      <c r="J83" s="15"/>
      <c r="K83" s="15"/>
      <c r="L83" s="15"/>
      <c r="M83" s="15"/>
      <c r="N83" s="15"/>
      <c r="O83" s="15"/>
      <c r="P83" s="15"/>
      <c r="Q83" s="15"/>
      <c r="R83" s="15"/>
      <c r="S83" s="15"/>
      <c r="T83" s="15"/>
      <c r="U83" s="15"/>
      <c r="V83" s="24">
        <f t="shared" si="11"/>
        <v>2</v>
      </c>
    </row>
    <row r="84" ht="15.75" customHeight="1">
      <c r="A84" s="23" t="str">
        <f t="shared" si="10"/>
        <v>Callum McCarthy</v>
      </c>
      <c r="B84" s="15"/>
      <c r="C84" s="15"/>
      <c r="D84" s="15"/>
      <c r="E84" s="15"/>
      <c r="F84" s="15"/>
      <c r="G84" s="15"/>
      <c r="H84" s="15"/>
      <c r="I84" s="15"/>
      <c r="J84" s="15"/>
      <c r="K84" s="15"/>
      <c r="L84" s="15"/>
      <c r="M84" s="15"/>
      <c r="N84" s="15"/>
      <c r="O84" s="15"/>
      <c r="P84" s="15"/>
      <c r="Q84" s="15"/>
      <c r="R84" s="15"/>
      <c r="S84" s="15"/>
      <c r="T84" s="15"/>
      <c r="U84" s="15"/>
      <c r="V84" s="24">
        <f t="shared" si="11"/>
        <v>0</v>
      </c>
    </row>
    <row r="85" ht="15.75" customHeight="1">
      <c r="A85" s="23" t="str">
        <f t="shared" si="10"/>
        <v>Cecil Watson</v>
      </c>
      <c r="B85" s="15"/>
      <c r="C85" s="15"/>
      <c r="D85" s="15"/>
      <c r="E85" s="15"/>
      <c r="F85" s="15"/>
      <c r="G85" s="15"/>
      <c r="H85" s="15"/>
      <c r="I85" s="15"/>
      <c r="J85" s="15">
        <v>1.0</v>
      </c>
      <c r="K85" s="15"/>
      <c r="L85" s="15"/>
      <c r="M85" s="15"/>
      <c r="N85" s="15"/>
      <c r="O85" s="15"/>
      <c r="P85" s="15"/>
      <c r="Q85" s="15"/>
      <c r="R85" s="15"/>
      <c r="S85" s="15"/>
      <c r="T85" s="15"/>
      <c r="U85" s="15"/>
      <c r="V85" s="24">
        <f t="shared" si="11"/>
        <v>1</v>
      </c>
    </row>
    <row r="86" ht="15.75" customHeight="1">
      <c r="A86" s="23" t="str">
        <f t="shared" si="10"/>
        <v>Conall Templeman</v>
      </c>
      <c r="B86" s="15"/>
      <c r="C86" s="15"/>
      <c r="D86" s="15"/>
      <c r="E86" s="15"/>
      <c r="F86" s="15"/>
      <c r="G86" s="15"/>
      <c r="H86" s="15"/>
      <c r="I86" s="15"/>
      <c r="J86" s="15"/>
      <c r="K86" s="15"/>
      <c r="L86" s="15"/>
      <c r="M86" s="15"/>
      <c r="N86" s="15"/>
      <c r="O86" s="15"/>
      <c r="P86" s="15"/>
      <c r="Q86" s="15"/>
      <c r="R86" s="15"/>
      <c r="S86" s="15"/>
      <c r="T86" s="15"/>
      <c r="U86" s="15"/>
      <c r="V86" s="24">
        <f t="shared" si="11"/>
        <v>0</v>
      </c>
    </row>
    <row r="87" ht="15.75" customHeight="1">
      <c r="A87" s="23" t="str">
        <f t="shared" si="10"/>
        <v>Eddie Ringer</v>
      </c>
      <c r="B87" s="15"/>
      <c r="C87" s="15"/>
      <c r="D87" s="15"/>
      <c r="E87" s="15"/>
      <c r="F87" s="15"/>
      <c r="G87" s="15"/>
      <c r="H87" s="15"/>
      <c r="I87" s="15"/>
      <c r="J87" s="15"/>
      <c r="K87" s="15"/>
      <c r="L87" s="15"/>
      <c r="M87" s="15"/>
      <c r="N87" s="15"/>
      <c r="O87" s="15"/>
      <c r="P87" s="15"/>
      <c r="Q87" s="15"/>
      <c r="R87" s="15"/>
      <c r="S87" s="15"/>
      <c r="T87" s="15"/>
      <c r="U87" s="15"/>
      <c r="V87" s="24">
        <f t="shared" si="11"/>
        <v>0</v>
      </c>
    </row>
    <row r="88" ht="15.75" customHeight="1">
      <c r="A88" s="23" t="str">
        <f t="shared" si="10"/>
        <v>Finn Cawley</v>
      </c>
      <c r="B88" s="15"/>
      <c r="C88" s="15"/>
      <c r="D88" s="15"/>
      <c r="E88" s="15"/>
      <c r="F88" s="15"/>
      <c r="G88" s="15"/>
      <c r="H88" s="15"/>
      <c r="I88" s="15"/>
      <c r="J88" s="15"/>
      <c r="K88" s="15"/>
      <c r="L88" s="15"/>
      <c r="M88" s="15"/>
      <c r="N88" s="15"/>
      <c r="O88" s="15"/>
      <c r="P88" s="15"/>
      <c r="Q88" s="15"/>
      <c r="R88" s="15"/>
      <c r="S88" s="15"/>
      <c r="T88" s="15"/>
      <c r="U88" s="15"/>
      <c r="V88" s="24">
        <f t="shared" si="11"/>
        <v>0</v>
      </c>
    </row>
    <row r="89" ht="15.75" customHeight="1">
      <c r="A89" s="23" t="str">
        <f t="shared" si="10"/>
        <v>George Barbantan</v>
      </c>
      <c r="B89" s="15"/>
      <c r="C89" s="15">
        <v>1.0</v>
      </c>
      <c r="D89" s="15"/>
      <c r="E89" s="15"/>
      <c r="F89" s="15"/>
      <c r="G89" s="15"/>
      <c r="H89" s="15"/>
      <c r="I89" s="15"/>
      <c r="J89" s="15"/>
      <c r="K89" s="15"/>
      <c r="L89" s="15"/>
      <c r="M89" s="15"/>
      <c r="N89" s="15"/>
      <c r="O89" s="15"/>
      <c r="P89" s="15"/>
      <c r="Q89" s="15"/>
      <c r="R89" s="15"/>
      <c r="S89" s="15"/>
      <c r="T89" s="15"/>
      <c r="U89" s="15"/>
      <c r="V89" s="24">
        <f t="shared" si="11"/>
        <v>1</v>
      </c>
    </row>
    <row r="90" ht="15.75" customHeight="1">
      <c r="A90" s="23" t="str">
        <f t="shared" si="10"/>
        <v>Henry Linklater</v>
      </c>
      <c r="B90" s="15"/>
      <c r="C90" s="15"/>
      <c r="D90" s="15"/>
      <c r="E90" s="15"/>
      <c r="F90" s="15"/>
      <c r="G90" s="15"/>
      <c r="H90" s="15"/>
      <c r="I90" s="15"/>
      <c r="J90" s="15"/>
      <c r="K90" s="15"/>
      <c r="L90" s="15"/>
      <c r="M90" s="15"/>
      <c r="N90" s="15"/>
      <c r="O90" s="15"/>
      <c r="P90" s="15"/>
      <c r="Q90" s="15"/>
      <c r="R90" s="15"/>
      <c r="S90" s="15"/>
      <c r="T90" s="15"/>
      <c r="U90" s="15"/>
      <c r="V90" s="24">
        <f t="shared" si="11"/>
        <v>0</v>
      </c>
    </row>
    <row r="91" ht="15.75" customHeight="1">
      <c r="A91" s="23" t="str">
        <f t="shared" si="10"/>
        <v>Isaac Mond</v>
      </c>
      <c r="B91" s="15">
        <v>1.0</v>
      </c>
      <c r="C91" s="15"/>
      <c r="D91" s="15"/>
      <c r="E91" s="15"/>
      <c r="F91" s="15"/>
      <c r="G91" s="15">
        <v>1.0</v>
      </c>
      <c r="H91" s="15">
        <v>1.0</v>
      </c>
      <c r="I91" s="15">
        <v>1.0</v>
      </c>
      <c r="J91" s="15"/>
      <c r="K91" s="15"/>
      <c r="L91" s="15"/>
      <c r="M91" s="15"/>
      <c r="N91" s="15"/>
      <c r="O91" s="15"/>
      <c r="P91" s="15"/>
      <c r="Q91" s="15"/>
      <c r="R91" s="15"/>
      <c r="S91" s="15"/>
      <c r="T91" s="15"/>
      <c r="U91" s="15"/>
      <c r="V91" s="24">
        <f t="shared" si="11"/>
        <v>4</v>
      </c>
    </row>
    <row r="92" ht="15.75" customHeight="1">
      <c r="A92" s="23" t="str">
        <f t="shared" si="10"/>
        <v>Jake Harrison</v>
      </c>
      <c r="B92" s="15"/>
      <c r="C92" s="15"/>
      <c r="D92" s="15"/>
      <c r="E92" s="15"/>
      <c r="F92" s="15"/>
      <c r="G92" s="15"/>
      <c r="H92" s="15"/>
      <c r="I92" s="15"/>
      <c r="J92" s="15"/>
      <c r="K92" s="15"/>
      <c r="L92" s="15"/>
      <c r="M92" s="15"/>
      <c r="N92" s="15"/>
      <c r="O92" s="15"/>
      <c r="P92" s="15"/>
      <c r="Q92" s="15"/>
      <c r="R92" s="15"/>
      <c r="S92" s="15"/>
      <c r="T92" s="15"/>
      <c r="U92" s="15"/>
      <c r="V92" s="24">
        <f t="shared" si="11"/>
        <v>0</v>
      </c>
    </row>
    <row r="93" ht="15.75" customHeight="1">
      <c r="A93" s="23" t="str">
        <f t="shared" si="10"/>
        <v>Jake Ringer</v>
      </c>
      <c r="B93" s="15"/>
      <c r="C93" s="15"/>
      <c r="D93" s="15"/>
      <c r="E93" s="15"/>
      <c r="F93" s="15"/>
      <c r="G93" s="15"/>
      <c r="H93" s="15"/>
      <c r="I93" s="15"/>
      <c r="J93" s="15"/>
      <c r="K93" s="15"/>
      <c r="L93" s="15"/>
      <c r="M93" s="15"/>
      <c r="N93" s="15"/>
      <c r="O93" s="15"/>
      <c r="P93" s="15"/>
      <c r="Q93" s="15"/>
      <c r="R93" s="15"/>
      <c r="S93" s="15"/>
      <c r="T93" s="15"/>
      <c r="U93" s="15"/>
      <c r="V93" s="24">
        <f t="shared" si="11"/>
        <v>0</v>
      </c>
    </row>
    <row r="94" ht="15.75" customHeight="1">
      <c r="A94" s="23" t="str">
        <f t="shared" si="10"/>
        <v>Keshav Singh</v>
      </c>
      <c r="B94" s="15"/>
      <c r="C94" s="15"/>
      <c r="D94" s="15"/>
      <c r="E94" s="15"/>
      <c r="F94" s="15"/>
      <c r="G94" s="15"/>
      <c r="H94" s="15"/>
      <c r="I94" s="15"/>
      <c r="J94" s="15"/>
      <c r="K94" s="15"/>
      <c r="L94" s="15"/>
      <c r="M94" s="15"/>
      <c r="N94" s="15"/>
      <c r="O94" s="15"/>
      <c r="P94" s="15"/>
      <c r="Q94" s="15"/>
      <c r="R94" s="15"/>
      <c r="S94" s="15"/>
      <c r="T94" s="15"/>
      <c r="U94" s="15"/>
      <c r="V94" s="24">
        <f t="shared" si="11"/>
        <v>0</v>
      </c>
    </row>
    <row r="95" ht="15.75" customHeight="1">
      <c r="A95" s="23" t="str">
        <f t="shared" si="10"/>
        <v>Mark Pellowe</v>
      </c>
      <c r="B95" s="15"/>
      <c r="C95" s="15"/>
      <c r="D95" s="15"/>
      <c r="E95" s="15"/>
      <c r="F95" s="15"/>
      <c r="G95" s="15"/>
      <c r="H95" s="15"/>
      <c r="I95" s="15"/>
      <c r="J95" s="15"/>
      <c r="K95" s="15"/>
      <c r="L95" s="15"/>
      <c r="M95" s="15"/>
      <c r="N95" s="15"/>
      <c r="O95" s="15"/>
      <c r="P95" s="15"/>
      <c r="Q95" s="15"/>
      <c r="R95" s="15"/>
      <c r="S95" s="15"/>
      <c r="T95" s="15"/>
      <c r="U95" s="15"/>
      <c r="V95" s="24">
        <f t="shared" si="11"/>
        <v>0</v>
      </c>
    </row>
    <row r="96" ht="15.75" customHeight="1">
      <c r="A96" s="23" t="str">
        <f t="shared" si="10"/>
        <v>Max Cobain</v>
      </c>
      <c r="B96" s="15"/>
      <c r="C96" s="15">
        <v>1.0</v>
      </c>
      <c r="D96" s="15"/>
      <c r="E96" s="15"/>
      <c r="F96" s="15"/>
      <c r="G96" s="15"/>
      <c r="H96" s="15"/>
      <c r="I96" s="15"/>
      <c r="J96" s="15"/>
      <c r="K96" s="15"/>
      <c r="L96" s="15"/>
      <c r="M96" s="15"/>
      <c r="N96" s="15"/>
      <c r="O96" s="15"/>
      <c r="P96" s="15"/>
      <c r="Q96" s="15"/>
      <c r="R96" s="15"/>
      <c r="S96" s="15"/>
      <c r="T96" s="15"/>
      <c r="U96" s="15"/>
      <c r="V96" s="24">
        <f t="shared" si="11"/>
        <v>1</v>
      </c>
    </row>
    <row r="97" ht="15.75" customHeight="1">
      <c r="A97" s="23" t="str">
        <f t="shared" si="10"/>
        <v>Neeraj Radia</v>
      </c>
      <c r="B97" s="15"/>
      <c r="C97" s="15">
        <v>1.0</v>
      </c>
      <c r="D97" s="15"/>
      <c r="E97" s="15"/>
      <c r="F97" s="15"/>
      <c r="G97" s="15"/>
      <c r="H97" s="15"/>
      <c r="I97" s="15">
        <v>1.0</v>
      </c>
      <c r="J97" s="15">
        <v>1.0</v>
      </c>
      <c r="K97" s="15"/>
      <c r="L97" s="15"/>
      <c r="M97" s="15"/>
      <c r="N97" s="15"/>
      <c r="O97" s="15"/>
      <c r="P97" s="15"/>
      <c r="Q97" s="15"/>
      <c r="R97" s="15"/>
      <c r="S97" s="15"/>
      <c r="T97" s="15"/>
      <c r="U97" s="15"/>
      <c r="V97" s="24">
        <f t="shared" si="11"/>
        <v>3</v>
      </c>
    </row>
    <row r="98" ht="15.75" customHeight="1">
      <c r="A98" s="23" t="str">
        <f t="shared" si="10"/>
        <v>Phil Knott</v>
      </c>
      <c r="B98" s="15">
        <v>2.0</v>
      </c>
      <c r="C98" s="15">
        <v>1.0</v>
      </c>
      <c r="D98" s="15"/>
      <c r="E98" s="15"/>
      <c r="F98" s="15"/>
      <c r="G98" s="15">
        <v>1.0</v>
      </c>
      <c r="H98" s="15">
        <v>1.0</v>
      </c>
      <c r="I98" s="15"/>
      <c r="J98" s="15"/>
      <c r="K98" s="15">
        <v>1.0</v>
      </c>
      <c r="L98" s="15"/>
      <c r="M98" s="15"/>
      <c r="N98" s="15"/>
      <c r="O98" s="15"/>
      <c r="P98" s="15"/>
      <c r="Q98" s="15"/>
      <c r="R98" s="15"/>
      <c r="S98" s="15"/>
      <c r="T98" s="15"/>
      <c r="U98" s="15"/>
      <c r="V98" s="24">
        <f t="shared" si="11"/>
        <v>6</v>
      </c>
    </row>
    <row r="99" ht="15.75" customHeight="1">
      <c r="A99" s="23" t="str">
        <f t="shared" si="10"/>
        <v>Robin</v>
      </c>
      <c r="B99" s="15"/>
      <c r="C99" s="15"/>
      <c r="D99" s="15"/>
      <c r="E99" s="15"/>
      <c r="F99" s="15"/>
      <c r="G99" s="15"/>
      <c r="H99" s="15"/>
      <c r="I99" s="15"/>
      <c r="J99" s="15"/>
      <c r="K99" s="15"/>
      <c r="L99" s="15"/>
      <c r="M99" s="15"/>
      <c r="N99" s="15"/>
      <c r="O99" s="15"/>
      <c r="P99" s="15"/>
      <c r="Q99" s="15"/>
      <c r="R99" s="15"/>
      <c r="S99" s="15"/>
      <c r="T99" s="15"/>
      <c r="U99" s="15"/>
      <c r="V99" s="24">
        <f t="shared" si="11"/>
        <v>0</v>
      </c>
    </row>
    <row r="100" ht="15.75" customHeight="1">
      <c r="A100" s="23" t="str">
        <f t="shared" si="10"/>
        <v>Sam Holt</v>
      </c>
      <c r="B100" s="15"/>
      <c r="C100" s="15"/>
      <c r="D100" s="15"/>
      <c r="E100" s="15"/>
      <c r="F100" s="15"/>
      <c r="G100" s="15"/>
      <c r="H100" s="15"/>
      <c r="I100" s="15"/>
      <c r="J100" s="15"/>
      <c r="K100" s="15"/>
      <c r="L100" s="15"/>
      <c r="M100" s="15"/>
      <c r="N100" s="15"/>
      <c r="O100" s="15"/>
      <c r="P100" s="15"/>
      <c r="Q100" s="15"/>
      <c r="R100" s="15"/>
      <c r="S100" s="15"/>
      <c r="T100" s="15"/>
      <c r="U100" s="15"/>
      <c r="V100" s="24">
        <f t="shared" si="11"/>
        <v>0</v>
      </c>
    </row>
    <row r="101" ht="15.75" customHeight="1">
      <c r="A101" s="23" t="str">
        <f t="shared" si="10"/>
        <v>Seb Burgess</v>
      </c>
      <c r="B101" s="15"/>
      <c r="C101" s="15"/>
      <c r="D101" s="15"/>
      <c r="E101" s="15"/>
      <c r="F101" s="15"/>
      <c r="G101" s="15"/>
      <c r="H101" s="15"/>
      <c r="I101" s="15"/>
      <c r="J101" s="15"/>
      <c r="K101" s="15"/>
      <c r="L101" s="15"/>
      <c r="M101" s="15"/>
      <c r="N101" s="15"/>
      <c r="O101" s="15"/>
      <c r="P101" s="15"/>
      <c r="Q101" s="15"/>
      <c r="R101" s="15"/>
      <c r="S101" s="15"/>
      <c r="T101" s="15"/>
      <c r="U101" s="15"/>
      <c r="V101" s="24">
        <f t="shared" si="11"/>
        <v>0</v>
      </c>
    </row>
    <row r="102" ht="15.75" customHeight="1">
      <c r="A102" s="23" t="str">
        <f t="shared" si="10"/>
        <v/>
      </c>
      <c r="B102" s="15"/>
      <c r="C102" s="15"/>
      <c r="D102" s="15"/>
      <c r="E102" s="15"/>
      <c r="F102" s="15"/>
      <c r="G102" s="15"/>
      <c r="H102" s="15"/>
      <c r="I102" s="15"/>
      <c r="J102" s="15"/>
      <c r="K102" s="15"/>
      <c r="L102" s="15"/>
      <c r="M102" s="15"/>
      <c r="N102" s="15"/>
      <c r="O102" s="15"/>
      <c r="P102" s="15"/>
      <c r="Q102" s="15"/>
      <c r="R102" s="15"/>
      <c r="S102" s="15"/>
      <c r="T102" s="15"/>
      <c r="U102" s="15"/>
      <c r="V102" s="24">
        <f t="shared" si="11"/>
        <v>0</v>
      </c>
    </row>
    <row r="103" ht="15.75" customHeight="1">
      <c r="A103" s="23" t="str">
        <f t="shared" si="10"/>
        <v/>
      </c>
      <c r="B103" s="15"/>
      <c r="C103" s="15"/>
      <c r="D103" s="15"/>
      <c r="E103" s="15"/>
      <c r="F103" s="15"/>
      <c r="G103" s="15"/>
      <c r="H103" s="15"/>
      <c r="I103" s="15"/>
      <c r="J103" s="15"/>
      <c r="K103" s="15"/>
      <c r="L103" s="15"/>
      <c r="M103" s="15"/>
      <c r="N103" s="15"/>
      <c r="O103" s="15"/>
      <c r="P103" s="15"/>
      <c r="Q103" s="15"/>
      <c r="R103" s="15"/>
      <c r="S103" s="15"/>
      <c r="T103" s="15"/>
      <c r="U103" s="15"/>
      <c r="V103" s="24">
        <f t="shared" si="11"/>
        <v>0</v>
      </c>
    </row>
    <row r="104" ht="15.75" customHeight="1">
      <c r="A104" s="23" t="str">
        <f t="shared" si="10"/>
        <v/>
      </c>
      <c r="B104" s="15"/>
      <c r="C104" s="15"/>
      <c r="D104" s="15"/>
      <c r="E104" s="15"/>
      <c r="F104" s="15"/>
      <c r="G104" s="15"/>
      <c r="H104" s="15"/>
      <c r="I104" s="15"/>
      <c r="J104" s="15"/>
      <c r="K104" s="15"/>
      <c r="L104" s="15"/>
      <c r="M104" s="15"/>
      <c r="N104" s="15"/>
      <c r="O104" s="15"/>
      <c r="P104" s="15"/>
      <c r="Q104" s="15"/>
      <c r="R104" s="15"/>
      <c r="S104" s="15"/>
      <c r="T104" s="15"/>
      <c r="U104" s="15"/>
      <c r="V104" s="24">
        <f t="shared" si="11"/>
        <v>0</v>
      </c>
    </row>
    <row r="105" ht="15.75" customHeight="1">
      <c r="A105" s="23" t="str">
        <f t="shared" si="10"/>
        <v/>
      </c>
      <c r="B105" s="15"/>
      <c r="C105" s="15"/>
      <c r="D105" s="15"/>
      <c r="E105" s="15"/>
      <c r="F105" s="15"/>
      <c r="G105" s="15"/>
      <c r="H105" s="15"/>
      <c r="I105" s="15"/>
      <c r="J105" s="15"/>
      <c r="K105" s="15"/>
      <c r="L105" s="15"/>
      <c r="M105" s="15"/>
      <c r="N105" s="15"/>
      <c r="O105" s="15"/>
      <c r="P105" s="15"/>
      <c r="Q105" s="15"/>
      <c r="R105" s="15"/>
      <c r="S105" s="15"/>
      <c r="T105" s="15"/>
      <c r="U105" s="15"/>
      <c r="V105" s="24">
        <f t="shared" si="11"/>
        <v>0</v>
      </c>
    </row>
    <row r="106" ht="15.75" customHeight="1">
      <c r="A106" s="23" t="str">
        <f t="shared" si="10"/>
        <v/>
      </c>
      <c r="B106" s="15"/>
      <c r="C106" s="15"/>
      <c r="D106" s="15"/>
      <c r="E106" s="15"/>
      <c r="F106" s="15"/>
      <c r="G106" s="15"/>
      <c r="H106" s="15"/>
      <c r="I106" s="15"/>
      <c r="J106" s="15"/>
      <c r="K106" s="15"/>
      <c r="L106" s="15"/>
      <c r="M106" s="15"/>
      <c r="N106" s="15"/>
      <c r="O106" s="15"/>
      <c r="P106" s="15"/>
      <c r="Q106" s="15"/>
      <c r="R106" s="15"/>
      <c r="S106" s="15"/>
      <c r="T106" s="15"/>
      <c r="U106" s="15"/>
      <c r="V106" s="24">
        <f t="shared" si="11"/>
        <v>0</v>
      </c>
    </row>
    <row r="107" ht="15.75" customHeight="1">
      <c r="A107" s="23" t="str">
        <f t="shared" si="10"/>
        <v/>
      </c>
      <c r="B107" s="15"/>
      <c r="C107" s="15"/>
      <c r="D107" s="15"/>
      <c r="E107" s="15"/>
      <c r="F107" s="15"/>
      <c r="G107" s="15"/>
      <c r="H107" s="15"/>
      <c r="I107" s="15"/>
      <c r="J107" s="15"/>
      <c r="K107" s="15"/>
      <c r="L107" s="15"/>
      <c r="M107" s="15"/>
      <c r="N107" s="15"/>
      <c r="O107" s="15"/>
      <c r="P107" s="15"/>
      <c r="Q107" s="15"/>
      <c r="R107" s="15"/>
      <c r="S107" s="15"/>
      <c r="T107" s="15"/>
      <c r="U107" s="15"/>
      <c r="V107" s="24">
        <f t="shared" si="11"/>
        <v>0</v>
      </c>
    </row>
    <row r="108" ht="15.75" customHeight="1">
      <c r="A108" s="7" t="s">
        <v>144</v>
      </c>
      <c r="V108" s="24">
        <f>SUM(V80:V107)</f>
        <v>18</v>
      </c>
    </row>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6.0"/>
    <col customWidth="1" min="2" max="25" width="12.0"/>
    <col customWidth="1" min="26" max="26" width="8.71"/>
  </cols>
  <sheetData>
    <row r="1">
      <c r="A1" s="4" t="s">
        <v>20</v>
      </c>
      <c r="B1" s="5"/>
      <c r="C1" s="5"/>
      <c r="D1" s="5"/>
      <c r="E1" s="5"/>
      <c r="F1" s="5"/>
      <c r="G1" s="5"/>
      <c r="H1" s="5"/>
      <c r="I1" s="5"/>
      <c r="J1" s="5"/>
      <c r="K1" s="5"/>
      <c r="L1" s="5"/>
      <c r="M1" s="5"/>
      <c r="N1" s="5"/>
      <c r="O1" s="5"/>
      <c r="P1" s="5"/>
      <c r="Q1" s="5"/>
      <c r="R1" s="5"/>
      <c r="S1" s="5"/>
      <c r="T1" s="5"/>
      <c r="U1" s="5"/>
      <c r="V1" s="5"/>
      <c r="W1" s="5"/>
      <c r="X1" s="5"/>
      <c r="Y1" s="5"/>
    </row>
    <row r="2">
      <c r="A2" s="6" t="s">
        <v>40</v>
      </c>
      <c r="B2" s="6" t="s">
        <v>41</v>
      </c>
      <c r="C2" s="6" t="s">
        <v>42</v>
      </c>
      <c r="D2" s="6" t="s">
        <v>43</v>
      </c>
      <c r="E2" s="6" t="s">
        <v>44</v>
      </c>
      <c r="F2" s="6" t="s">
        <v>45</v>
      </c>
      <c r="G2" s="6" t="s">
        <v>46</v>
      </c>
      <c r="H2" s="6" t="s">
        <v>47</v>
      </c>
      <c r="I2" s="6" t="s">
        <v>48</v>
      </c>
      <c r="J2" s="6" t="s">
        <v>49</v>
      </c>
      <c r="K2" s="6" t="s">
        <v>50</v>
      </c>
      <c r="L2" s="6" t="s">
        <v>51</v>
      </c>
      <c r="M2" s="6" t="s">
        <v>52</v>
      </c>
      <c r="N2" s="6" t="s">
        <v>53</v>
      </c>
      <c r="O2" s="6" t="s">
        <v>54</v>
      </c>
      <c r="P2" s="6" t="s">
        <v>55</v>
      </c>
      <c r="Q2" s="6" t="s">
        <v>56</v>
      </c>
      <c r="R2" s="6" t="s">
        <v>57</v>
      </c>
      <c r="S2" s="6" t="s">
        <v>58</v>
      </c>
      <c r="T2" s="6" t="s">
        <v>59</v>
      </c>
      <c r="U2" s="6" t="s">
        <v>60</v>
      </c>
      <c r="X2" s="7" t="s">
        <v>61</v>
      </c>
    </row>
    <row r="3">
      <c r="A3" s="8" t="s">
        <v>62</v>
      </c>
      <c r="B3" s="9">
        <v>45624.0</v>
      </c>
      <c r="C3" s="9">
        <v>45631.0</v>
      </c>
      <c r="D3" s="9">
        <v>45638.0</v>
      </c>
      <c r="E3" s="9">
        <v>45645.0</v>
      </c>
      <c r="F3" s="9">
        <v>45666.0</v>
      </c>
      <c r="G3" s="9">
        <v>45673.0</v>
      </c>
      <c r="H3" s="9">
        <v>45680.0</v>
      </c>
      <c r="I3" s="9">
        <v>45687.0</v>
      </c>
      <c r="J3" s="9"/>
      <c r="K3" s="9"/>
      <c r="L3" s="9"/>
      <c r="M3" s="9"/>
      <c r="N3" s="9"/>
      <c r="O3" s="9"/>
      <c r="P3" s="9"/>
      <c r="Q3" s="9"/>
      <c r="R3" s="9"/>
      <c r="S3" s="9"/>
      <c r="T3" s="9"/>
      <c r="U3" s="9"/>
      <c r="X3" s="7" t="s">
        <v>63</v>
      </c>
      <c r="Y3" s="10">
        <f>Y4+Y5+Y6</f>
        <v>8</v>
      </c>
    </row>
    <row r="4">
      <c r="A4" s="8" t="s">
        <v>64</v>
      </c>
      <c r="B4" s="11"/>
      <c r="C4" s="11"/>
      <c r="D4" s="11"/>
      <c r="E4" s="11"/>
      <c r="F4" s="11"/>
      <c r="G4" s="11"/>
      <c r="H4" s="11"/>
      <c r="I4" s="11"/>
      <c r="J4" s="11"/>
      <c r="K4" s="11"/>
      <c r="L4" s="11"/>
      <c r="M4" s="11"/>
      <c r="N4" s="11"/>
      <c r="O4" s="11"/>
      <c r="P4" s="11"/>
      <c r="Q4" s="11"/>
      <c r="R4" s="11"/>
      <c r="S4" s="11"/>
      <c r="T4" s="11"/>
      <c r="U4" s="11"/>
      <c r="X4" s="7" t="s">
        <v>65</v>
      </c>
      <c r="Y4" s="10">
        <f>SUMPRODUCT(($B$9:$U$9="W")*($B$16:$U$16=""))</f>
        <v>3</v>
      </c>
    </row>
    <row r="5" ht="27.75" customHeight="1">
      <c r="A5" s="8" t="s">
        <v>66</v>
      </c>
      <c r="B5" s="12" t="s">
        <v>72</v>
      </c>
      <c r="C5" s="12" t="s">
        <v>73</v>
      </c>
      <c r="D5" s="12" t="s">
        <v>74</v>
      </c>
      <c r="E5" s="12" t="s">
        <v>76</v>
      </c>
      <c r="F5" s="12" t="s">
        <v>77</v>
      </c>
      <c r="G5" s="12" t="s">
        <v>78</v>
      </c>
      <c r="H5" s="12" t="s">
        <v>73</v>
      </c>
      <c r="I5" s="12" t="s">
        <v>74</v>
      </c>
      <c r="J5" s="12"/>
      <c r="K5" s="12"/>
      <c r="L5" s="12"/>
      <c r="M5" s="12"/>
      <c r="N5" s="12"/>
      <c r="O5" s="12"/>
      <c r="P5" s="12"/>
      <c r="Q5" s="12"/>
      <c r="R5" s="12"/>
      <c r="S5" s="12"/>
      <c r="T5" s="12"/>
      <c r="U5" s="12"/>
      <c r="X5" s="7" t="s">
        <v>75</v>
      </c>
      <c r="Y5" s="10">
        <f>SUMPRODUCT(($B$9:$U$9="D")*($B$16:$U$16=""))</f>
        <v>0</v>
      </c>
    </row>
    <row r="6">
      <c r="A6" s="8" t="s">
        <v>79</v>
      </c>
      <c r="B6" s="13">
        <v>3.0</v>
      </c>
      <c r="C6" s="13">
        <v>0.0</v>
      </c>
      <c r="D6" s="13">
        <v>2.0</v>
      </c>
      <c r="E6" s="13">
        <v>8.0</v>
      </c>
      <c r="F6" s="13">
        <v>4.0</v>
      </c>
      <c r="G6" s="13">
        <v>2.0</v>
      </c>
      <c r="H6" s="13">
        <v>2.0</v>
      </c>
      <c r="I6" s="13">
        <v>5.0</v>
      </c>
      <c r="J6" s="13"/>
      <c r="K6" s="13"/>
      <c r="L6" s="13"/>
      <c r="M6" s="13"/>
      <c r="N6" s="13"/>
      <c r="O6" s="13"/>
      <c r="P6" s="13"/>
      <c r="Q6" s="13"/>
      <c r="R6" s="13"/>
      <c r="S6" s="13"/>
      <c r="T6" s="13"/>
      <c r="U6" s="13"/>
      <c r="X6" s="7" t="s">
        <v>80</v>
      </c>
      <c r="Y6" s="10">
        <f>SUMPRODUCT(($B$9:$U$9="L")*($B$16:$U$16=""))</f>
        <v>5</v>
      </c>
    </row>
    <row r="7">
      <c r="A7" s="8" t="s">
        <v>81</v>
      </c>
      <c r="B7" s="13">
        <v>10.0</v>
      </c>
      <c r="C7" s="13">
        <v>5.0</v>
      </c>
      <c r="D7" s="13">
        <v>5.0</v>
      </c>
      <c r="E7" s="13">
        <v>2.0</v>
      </c>
      <c r="F7" s="13">
        <v>3.0</v>
      </c>
      <c r="G7" s="13">
        <v>8.0</v>
      </c>
      <c r="H7" s="13">
        <v>11.0</v>
      </c>
      <c r="I7" s="13">
        <v>4.0</v>
      </c>
      <c r="J7" s="13"/>
      <c r="K7" s="13"/>
      <c r="L7" s="13"/>
      <c r="M7" s="13"/>
      <c r="N7" s="13"/>
      <c r="O7" s="13"/>
      <c r="P7" s="13"/>
      <c r="Q7" s="13"/>
      <c r="R7" s="13"/>
      <c r="S7" s="13"/>
      <c r="T7" s="13"/>
      <c r="U7" s="13"/>
      <c r="X7" s="7" t="s">
        <v>82</v>
      </c>
      <c r="Y7" s="10">
        <f>SUMPRODUCT($B$6:$U$6*($B$16:$U$16=""))</f>
        <v>26</v>
      </c>
    </row>
    <row r="8">
      <c r="A8" s="8" t="s">
        <v>83</v>
      </c>
      <c r="B8" s="14" t="str">
        <f t="shared" ref="B8:U8" si="1">IF(COUNT(B6:B7)&lt;2,"",B6&amp;"-"&amp;B7)</f>
        <v>3-10</v>
      </c>
      <c r="C8" s="14" t="str">
        <f t="shared" si="1"/>
        <v>0-5</v>
      </c>
      <c r="D8" s="14" t="str">
        <f t="shared" si="1"/>
        <v>2-5</v>
      </c>
      <c r="E8" s="14" t="str">
        <f t="shared" si="1"/>
        <v>8-2</v>
      </c>
      <c r="F8" s="14" t="str">
        <f t="shared" si="1"/>
        <v>4-3</v>
      </c>
      <c r="G8" s="14" t="str">
        <f t="shared" si="1"/>
        <v>2-8</v>
      </c>
      <c r="H8" s="14" t="str">
        <f t="shared" si="1"/>
        <v>2-11</v>
      </c>
      <c r="I8" s="14" t="str">
        <f t="shared" si="1"/>
        <v>5-4</v>
      </c>
      <c r="J8" s="14" t="str">
        <f t="shared" si="1"/>
        <v/>
      </c>
      <c r="K8" s="14" t="str">
        <f t="shared" si="1"/>
        <v/>
      </c>
      <c r="L8" s="14" t="str">
        <f t="shared" si="1"/>
        <v/>
      </c>
      <c r="M8" s="14" t="str">
        <f t="shared" si="1"/>
        <v/>
      </c>
      <c r="N8" s="14" t="str">
        <f t="shared" si="1"/>
        <v/>
      </c>
      <c r="O8" s="14" t="str">
        <f t="shared" si="1"/>
        <v/>
      </c>
      <c r="P8" s="14" t="str">
        <f t="shared" si="1"/>
        <v/>
      </c>
      <c r="Q8" s="14" t="str">
        <f t="shared" si="1"/>
        <v/>
      </c>
      <c r="R8" s="14" t="str">
        <f t="shared" si="1"/>
        <v/>
      </c>
      <c r="S8" s="14" t="str">
        <f t="shared" si="1"/>
        <v/>
      </c>
      <c r="T8" s="14" t="str">
        <f t="shared" si="1"/>
        <v/>
      </c>
      <c r="U8" s="14" t="str">
        <f t="shared" si="1"/>
        <v/>
      </c>
      <c r="X8" s="7" t="s">
        <v>94</v>
      </c>
      <c r="Y8" s="10">
        <f>SUMPRODUCT($B$7:$U$7*($B$16:$U$16=""))</f>
        <v>48</v>
      </c>
    </row>
    <row r="9">
      <c r="A9" s="8" t="s">
        <v>95</v>
      </c>
      <c r="B9" s="14" t="str">
        <f t="shared" ref="B9:U9" si="2">IF(COUNT(B6:B7)&lt;2,"",IF(B6&gt;B7,"W",IF(B6&lt;B7,"L","D")))</f>
        <v>L</v>
      </c>
      <c r="C9" s="14" t="str">
        <f t="shared" si="2"/>
        <v>L</v>
      </c>
      <c r="D9" s="14" t="str">
        <f t="shared" si="2"/>
        <v>L</v>
      </c>
      <c r="E9" s="14" t="str">
        <f t="shared" si="2"/>
        <v>W</v>
      </c>
      <c r="F9" s="14" t="str">
        <f t="shared" si="2"/>
        <v>W</v>
      </c>
      <c r="G9" s="14" t="str">
        <f t="shared" si="2"/>
        <v>L</v>
      </c>
      <c r="H9" s="14" t="str">
        <f t="shared" si="2"/>
        <v>L</v>
      </c>
      <c r="I9" s="14" t="str">
        <f t="shared" si="2"/>
        <v>W</v>
      </c>
      <c r="J9" s="14" t="str">
        <f t="shared" si="2"/>
        <v/>
      </c>
      <c r="K9" s="14" t="str">
        <f t="shared" si="2"/>
        <v/>
      </c>
      <c r="L9" s="14" t="str">
        <f t="shared" si="2"/>
        <v/>
      </c>
      <c r="M9" s="14" t="str">
        <f t="shared" si="2"/>
        <v/>
      </c>
      <c r="N9" s="14" t="str">
        <f t="shared" si="2"/>
        <v/>
      </c>
      <c r="O9" s="14" t="str">
        <f t="shared" si="2"/>
        <v/>
      </c>
      <c r="P9" s="14" t="str">
        <f t="shared" si="2"/>
        <v/>
      </c>
      <c r="Q9" s="14" t="str">
        <f t="shared" si="2"/>
        <v/>
      </c>
      <c r="R9" s="14" t="str">
        <f t="shared" si="2"/>
        <v/>
      </c>
      <c r="S9" s="14" t="str">
        <f t="shared" si="2"/>
        <v/>
      </c>
      <c r="T9" s="14" t="str">
        <f t="shared" si="2"/>
        <v/>
      </c>
      <c r="U9" s="14" t="str">
        <f t="shared" si="2"/>
        <v/>
      </c>
      <c r="X9" s="7" t="s">
        <v>96</v>
      </c>
      <c r="Y9" s="10" t="str">
        <f t="array" ref="Y9">IF(MAX($V$49:$V$76)=0,"—",INDEX($A$49:$A$76,MATCH(MAX($V$49:$V$76),$V$49:$V$76,0))&amp;" ("&amp;MAX($V$49:$V$76)&amp;")")</f>
        <v>Seb Burgess (5)</v>
      </c>
    </row>
    <row r="10">
      <c r="A10" s="8" t="s">
        <v>97</v>
      </c>
      <c r="B10" s="15" t="s">
        <v>99</v>
      </c>
      <c r="C10" s="15" t="s">
        <v>101</v>
      </c>
      <c r="D10" s="15" t="s">
        <v>103</v>
      </c>
      <c r="E10" s="15" t="s">
        <v>104</v>
      </c>
      <c r="F10" s="15"/>
      <c r="G10" s="15"/>
      <c r="H10" s="15"/>
      <c r="I10" s="15"/>
      <c r="J10" s="15"/>
      <c r="K10" s="15"/>
      <c r="L10" s="15"/>
      <c r="M10" s="15"/>
      <c r="N10" s="15"/>
      <c r="O10" s="15"/>
      <c r="P10" s="15"/>
      <c r="Q10" s="15"/>
      <c r="R10" s="15"/>
      <c r="S10" s="15"/>
      <c r="T10" s="15"/>
      <c r="U10" s="15"/>
      <c r="X10" s="7" t="s">
        <v>106</v>
      </c>
      <c r="Y10" s="10" t="str">
        <f t="array" ref="Y10">IF(MAX($V$18:$V$45)=0,"—",INDEX($A$18:$A$45,MATCH(MAX($V$18:$V$45),$V$18:$V$45,0))&amp;" ("&amp;MAX($V$18:$V$45)&amp;")")</f>
        <v>Andy Cowan (6)</v>
      </c>
    </row>
    <row r="11">
      <c r="A11" s="8" t="s">
        <v>107</v>
      </c>
      <c r="B11" s="15"/>
      <c r="C11" s="15"/>
      <c r="D11" s="15"/>
      <c r="E11" s="15"/>
      <c r="F11" s="15"/>
      <c r="G11" s="15"/>
      <c r="H11" s="15"/>
      <c r="I11" s="15"/>
      <c r="J11" s="15"/>
      <c r="K11" s="15"/>
      <c r="L11" s="15"/>
      <c r="M11" s="15"/>
      <c r="N11" s="15"/>
      <c r="O11" s="15"/>
      <c r="P11" s="15"/>
      <c r="Q11" s="15"/>
      <c r="R11" s="15"/>
      <c r="S11" s="15"/>
      <c r="T11" s="15"/>
      <c r="U11" s="15"/>
      <c r="X11" s="7" t="s">
        <v>108</v>
      </c>
      <c r="Y11" s="16">
        <f>SUM($B$13:$U$13)</f>
        <v>0</v>
      </c>
    </row>
    <row r="12" ht="25.5" customHeight="1">
      <c r="A12" s="8" t="s">
        <v>112</v>
      </c>
      <c r="B12" s="17"/>
      <c r="C12" s="17"/>
      <c r="D12" s="17"/>
      <c r="E12" s="17"/>
      <c r="F12" s="17"/>
      <c r="G12" s="17"/>
      <c r="H12" s="17"/>
      <c r="I12" s="17"/>
      <c r="J12" s="17"/>
      <c r="K12" s="17"/>
      <c r="L12" s="17"/>
      <c r="M12" s="17"/>
      <c r="N12" s="17"/>
      <c r="O12" s="17"/>
      <c r="P12" s="17"/>
      <c r="Q12" s="17"/>
      <c r="R12" s="17"/>
      <c r="S12" s="17"/>
      <c r="T12" s="17"/>
      <c r="U12" s="17"/>
      <c r="X12" s="7" t="s">
        <v>119</v>
      </c>
      <c r="Y12" s="18"/>
    </row>
    <row r="13">
      <c r="A13" s="8" t="s">
        <v>123</v>
      </c>
      <c r="B13" s="19"/>
      <c r="C13" s="19"/>
      <c r="D13" s="19"/>
      <c r="E13" s="19"/>
      <c r="F13" s="19"/>
      <c r="G13" s="19"/>
      <c r="H13" s="19"/>
      <c r="I13" s="19"/>
      <c r="J13" s="19"/>
      <c r="K13" s="19"/>
      <c r="L13" s="19"/>
      <c r="M13" s="19"/>
      <c r="N13" s="19"/>
      <c r="O13" s="19"/>
      <c r="P13" s="19"/>
      <c r="Q13" s="19"/>
      <c r="R13" s="19"/>
      <c r="S13" s="19"/>
      <c r="T13" s="19"/>
      <c r="U13" s="19"/>
    </row>
    <row r="14">
      <c r="A14" s="8" t="s">
        <v>126</v>
      </c>
      <c r="B14" s="14">
        <f t="shared" ref="B14:U14" si="3">COUNT(B$18:B$45)</f>
        <v>7</v>
      </c>
      <c r="C14" s="14">
        <f t="shared" si="3"/>
        <v>8</v>
      </c>
      <c r="D14" s="14">
        <f t="shared" si="3"/>
        <v>7</v>
      </c>
      <c r="E14" s="14">
        <f t="shared" si="3"/>
        <v>4</v>
      </c>
      <c r="F14" s="14">
        <f t="shared" si="3"/>
        <v>9</v>
      </c>
      <c r="G14" s="14">
        <f t="shared" si="3"/>
        <v>8</v>
      </c>
      <c r="H14" s="14">
        <f t="shared" si="3"/>
        <v>6</v>
      </c>
      <c r="I14" s="14">
        <f t="shared" si="3"/>
        <v>7</v>
      </c>
      <c r="J14" s="14">
        <f t="shared" si="3"/>
        <v>0</v>
      </c>
      <c r="K14" s="14">
        <f t="shared" si="3"/>
        <v>0</v>
      </c>
      <c r="L14" s="14">
        <f t="shared" si="3"/>
        <v>0</v>
      </c>
      <c r="M14" s="14">
        <f t="shared" si="3"/>
        <v>0</v>
      </c>
      <c r="N14" s="14">
        <f t="shared" si="3"/>
        <v>0</v>
      </c>
      <c r="O14" s="14">
        <f t="shared" si="3"/>
        <v>0</v>
      </c>
      <c r="P14" s="14">
        <f t="shared" si="3"/>
        <v>0</v>
      </c>
      <c r="Q14" s="14">
        <f t="shared" si="3"/>
        <v>0</v>
      </c>
      <c r="R14" s="14">
        <f t="shared" si="3"/>
        <v>0</v>
      </c>
      <c r="S14" s="14">
        <f t="shared" si="3"/>
        <v>0</v>
      </c>
      <c r="T14" s="14">
        <f t="shared" si="3"/>
        <v>0</v>
      </c>
      <c r="U14" s="14">
        <f t="shared" si="3"/>
        <v>0</v>
      </c>
    </row>
    <row r="15">
      <c r="A15" s="8" t="s">
        <v>127</v>
      </c>
      <c r="B15" s="20">
        <f t="shared" ref="B15:U15" si="4">IF(B$14=0,0,N(B$13)/B$14)</f>
        <v>0</v>
      </c>
      <c r="C15" s="20">
        <f t="shared" si="4"/>
        <v>0</v>
      </c>
      <c r="D15" s="20">
        <f t="shared" si="4"/>
        <v>0</v>
      </c>
      <c r="E15" s="20">
        <f t="shared" si="4"/>
        <v>0</v>
      </c>
      <c r="F15" s="20">
        <f t="shared" si="4"/>
        <v>0</v>
      </c>
      <c r="G15" s="20">
        <f t="shared" si="4"/>
        <v>0</v>
      </c>
      <c r="H15" s="20">
        <f t="shared" si="4"/>
        <v>0</v>
      </c>
      <c r="I15" s="20">
        <f t="shared" si="4"/>
        <v>0</v>
      </c>
      <c r="J15" s="20">
        <f t="shared" si="4"/>
        <v>0</v>
      </c>
      <c r="K15" s="20">
        <f t="shared" si="4"/>
        <v>0</v>
      </c>
      <c r="L15" s="20">
        <f t="shared" si="4"/>
        <v>0</v>
      </c>
      <c r="M15" s="20">
        <f t="shared" si="4"/>
        <v>0</v>
      </c>
      <c r="N15" s="20">
        <f t="shared" si="4"/>
        <v>0</v>
      </c>
      <c r="O15" s="20">
        <f t="shared" si="4"/>
        <v>0</v>
      </c>
      <c r="P15" s="20">
        <f t="shared" si="4"/>
        <v>0</v>
      </c>
      <c r="Q15" s="20">
        <f t="shared" si="4"/>
        <v>0</v>
      </c>
      <c r="R15" s="20">
        <f t="shared" si="4"/>
        <v>0</v>
      </c>
      <c r="S15" s="20">
        <f t="shared" si="4"/>
        <v>0</v>
      </c>
      <c r="T15" s="20">
        <f t="shared" si="4"/>
        <v>0</v>
      </c>
      <c r="U15" s="20">
        <f t="shared" si="4"/>
        <v>0</v>
      </c>
    </row>
    <row r="16">
      <c r="A16" s="8" t="s">
        <v>128</v>
      </c>
      <c r="B16" s="13"/>
      <c r="C16" s="13"/>
      <c r="D16" s="13"/>
      <c r="E16" s="13"/>
      <c r="F16" s="13"/>
      <c r="G16" s="13"/>
      <c r="H16" s="13"/>
      <c r="I16" s="13"/>
      <c r="J16" s="13"/>
      <c r="K16" s="13"/>
      <c r="L16" s="13"/>
      <c r="M16" s="13"/>
      <c r="N16" s="13"/>
      <c r="O16" s="13"/>
      <c r="P16" s="13"/>
      <c r="Q16" s="13"/>
      <c r="R16" s="13"/>
      <c r="S16" s="13"/>
      <c r="T16" s="13"/>
      <c r="U16" s="13"/>
    </row>
    <row r="17">
      <c r="A17" s="21" t="s">
        <v>129</v>
      </c>
      <c r="B17" s="22" t="s">
        <v>41</v>
      </c>
      <c r="C17" s="22" t="s">
        <v>42</v>
      </c>
      <c r="D17" s="22" t="s">
        <v>43</v>
      </c>
      <c r="E17" s="22" t="s">
        <v>44</v>
      </c>
      <c r="F17" s="22" t="s">
        <v>45</v>
      </c>
      <c r="G17" s="22" t="s">
        <v>46</v>
      </c>
      <c r="H17" s="22" t="s">
        <v>47</v>
      </c>
      <c r="I17" s="22" t="s">
        <v>48</v>
      </c>
      <c r="J17" s="22" t="s">
        <v>49</v>
      </c>
      <c r="K17" s="22" t="s">
        <v>50</v>
      </c>
      <c r="L17" s="22" t="s">
        <v>51</v>
      </c>
      <c r="M17" s="22" t="s">
        <v>52</v>
      </c>
      <c r="N17" s="22" t="s">
        <v>53</v>
      </c>
      <c r="O17" s="22" t="s">
        <v>54</v>
      </c>
      <c r="P17" s="22" t="s">
        <v>55</v>
      </c>
      <c r="Q17" s="22" t="s">
        <v>56</v>
      </c>
      <c r="R17" s="22" t="s">
        <v>57</v>
      </c>
      <c r="S17" s="22" t="s">
        <v>58</v>
      </c>
      <c r="T17" s="22" t="s">
        <v>59</v>
      </c>
      <c r="U17" s="22" t="s">
        <v>60</v>
      </c>
      <c r="V17" s="22" t="s">
        <v>130</v>
      </c>
      <c r="W17" s="22" t="s">
        <v>131</v>
      </c>
    </row>
    <row r="18">
      <c r="A18" s="23" t="s">
        <v>132</v>
      </c>
      <c r="B18" s="15"/>
      <c r="C18" s="15"/>
      <c r="D18" s="15"/>
      <c r="E18" s="15"/>
      <c r="F18" s="15"/>
      <c r="G18" s="15"/>
      <c r="H18" s="15"/>
      <c r="I18" s="15"/>
      <c r="J18" s="15"/>
      <c r="K18" s="15"/>
      <c r="L18" s="15"/>
      <c r="M18" s="15"/>
      <c r="N18" s="15"/>
      <c r="O18" s="15"/>
      <c r="P18" s="15"/>
      <c r="Q18" s="15"/>
      <c r="R18" s="15"/>
      <c r="S18" s="15"/>
      <c r="T18" s="15"/>
      <c r="U18" s="15"/>
      <c r="V18" s="24">
        <f t="shared" ref="V18:V45" si="5">SUMPRODUCT(B18:U18*($B$16:$U$16=""))</f>
        <v>0</v>
      </c>
      <c r="W18" s="20">
        <f t="shared" ref="W18:W45" si="6">SUMPRODUCT($B18:$U18,$B$15:$U$15)</f>
        <v>0</v>
      </c>
    </row>
    <row r="19">
      <c r="A19" s="23" t="s">
        <v>133</v>
      </c>
      <c r="B19" s="15"/>
      <c r="C19" s="15"/>
      <c r="D19" s="15"/>
      <c r="E19" s="15"/>
      <c r="F19" s="15"/>
      <c r="G19" s="15"/>
      <c r="H19" s="15">
        <v>1.0</v>
      </c>
      <c r="I19" s="15"/>
      <c r="J19" s="15"/>
      <c r="K19" s="15"/>
      <c r="L19" s="15"/>
      <c r="M19" s="15"/>
      <c r="N19" s="15"/>
      <c r="O19" s="15"/>
      <c r="P19" s="15"/>
      <c r="Q19" s="15"/>
      <c r="R19" s="15"/>
      <c r="S19" s="15"/>
      <c r="T19" s="15"/>
      <c r="U19" s="15"/>
      <c r="V19" s="24">
        <f t="shared" si="5"/>
        <v>1</v>
      </c>
      <c r="W19" s="20">
        <f t="shared" si="6"/>
        <v>0</v>
      </c>
    </row>
    <row r="20">
      <c r="A20" s="23" t="s">
        <v>103</v>
      </c>
      <c r="B20" s="15">
        <v>1.0</v>
      </c>
      <c r="C20" s="15">
        <v>1.0</v>
      </c>
      <c r="D20" s="15">
        <v>1.0</v>
      </c>
      <c r="E20" s="15"/>
      <c r="F20" s="15">
        <v>1.0</v>
      </c>
      <c r="G20" s="15">
        <v>1.0</v>
      </c>
      <c r="H20" s="15"/>
      <c r="I20" s="15">
        <v>1.0</v>
      </c>
      <c r="J20" s="15"/>
      <c r="K20" s="15"/>
      <c r="L20" s="15"/>
      <c r="M20" s="15"/>
      <c r="N20" s="15"/>
      <c r="O20" s="15"/>
      <c r="P20" s="15"/>
      <c r="Q20" s="15"/>
      <c r="R20" s="15"/>
      <c r="S20" s="15"/>
      <c r="T20" s="15"/>
      <c r="U20" s="15"/>
      <c r="V20" s="24">
        <f t="shared" si="5"/>
        <v>6</v>
      </c>
      <c r="W20" s="20">
        <f t="shared" si="6"/>
        <v>0</v>
      </c>
    </row>
    <row r="21" ht="15.75" customHeight="1">
      <c r="A21" s="23" t="s">
        <v>110</v>
      </c>
      <c r="B21" s="15"/>
      <c r="C21" s="15"/>
      <c r="D21" s="15">
        <v>1.0</v>
      </c>
      <c r="E21" s="15"/>
      <c r="F21" s="15">
        <v>1.0</v>
      </c>
      <c r="G21" s="15">
        <v>1.0</v>
      </c>
      <c r="H21" s="15">
        <v>1.0</v>
      </c>
      <c r="I21" s="15"/>
      <c r="J21" s="15"/>
      <c r="K21" s="15"/>
      <c r="L21" s="15"/>
      <c r="M21" s="15"/>
      <c r="N21" s="15"/>
      <c r="O21" s="15"/>
      <c r="P21" s="15"/>
      <c r="Q21" s="15"/>
      <c r="R21" s="15"/>
      <c r="S21" s="15"/>
      <c r="T21" s="15"/>
      <c r="U21" s="15"/>
      <c r="V21" s="24">
        <f t="shared" si="5"/>
        <v>4</v>
      </c>
      <c r="W21" s="20">
        <f t="shared" si="6"/>
        <v>0</v>
      </c>
    </row>
    <row r="22" ht="15.75" customHeight="1">
      <c r="A22" s="23" t="s">
        <v>100</v>
      </c>
      <c r="B22" s="15">
        <v>1.0</v>
      </c>
      <c r="C22" s="15">
        <v>1.0</v>
      </c>
      <c r="D22" s="15"/>
      <c r="E22" s="15"/>
      <c r="F22" s="15"/>
      <c r="G22" s="15"/>
      <c r="H22" s="15"/>
      <c r="I22" s="15"/>
      <c r="J22" s="15"/>
      <c r="K22" s="15"/>
      <c r="L22" s="15"/>
      <c r="M22" s="15"/>
      <c r="N22" s="15"/>
      <c r="O22" s="15"/>
      <c r="P22" s="15"/>
      <c r="Q22" s="15"/>
      <c r="R22" s="15"/>
      <c r="S22" s="15"/>
      <c r="T22" s="15"/>
      <c r="U22" s="15"/>
      <c r="V22" s="24">
        <f t="shared" si="5"/>
        <v>2</v>
      </c>
      <c r="W22" s="20">
        <f t="shared" si="6"/>
        <v>0</v>
      </c>
    </row>
    <row r="23" ht="15.75" customHeight="1">
      <c r="A23" s="23" t="s">
        <v>134</v>
      </c>
      <c r="B23" s="15"/>
      <c r="C23" s="15"/>
      <c r="D23" s="15"/>
      <c r="E23" s="15"/>
      <c r="F23" s="15"/>
      <c r="G23" s="15"/>
      <c r="H23" s="15"/>
      <c r="I23" s="15"/>
      <c r="J23" s="15"/>
      <c r="K23" s="15"/>
      <c r="L23" s="15"/>
      <c r="M23" s="15"/>
      <c r="N23" s="15"/>
      <c r="O23" s="15"/>
      <c r="P23" s="15"/>
      <c r="Q23" s="15"/>
      <c r="R23" s="15"/>
      <c r="S23" s="15"/>
      <c r="T23" s="15"/>
      <c r="U23" s="15"/>
      <c r="V23" s="24">
        <f t="shared" si="5"/>
        <v>0</v>
      </c>
      <c r="W23" s="20">
        <f t="shared" si="6"/>
        <v>0</v>
      </c>
    </row>
    <row r="24" ht="15.75" customHeight="1">
      <c r="A24" s="23" t="s">
        <v>135</v>
      </c>
      <c r="B24" s="15"/>
      <c r="C24" s="15"/>
      <c r="D24" s="15"/>
      <c r="E24" s="15"/>
      <c r="F24" s="15"/>
      <c r="G24" s="15"/>
      <c r="H24" s="15"/>
      <c r="I24" s="15"/>
      <c r="J24" s="15"/>
      <c r="K24" s="15"/>
      <c r="L24" s="15"/>
      <c r="M24" s="15"/>
      <c r="N24" s="15"/>
      <c r="O24" s="15"/>
      <c r="P24" s="15"/>
      <c r="Q24" s="15"/>
      <c r="R24" s="15"/>
      <c r="S24" s="15"/>
      <c r="T24" s="15"/>
      <c r="U24" s="15"/>
      <c r="V24" s="24">
        <f t="shared" si="5"/>
        <v>0</v>
      </c>
      <c r="W24" s="20">
        <f t="shared" si="6"/>
        <v>0</v>
      </c>
    </row>
    <row r="25" ht="15.75" customHeight="1">
      <c r="A25" s="23" t="s">
        <v>136</v>
      </c>
      <c r="B25" s="15"/>
      <c r="C25" s="15"/>
      <c r="D25" s="15"/>
      <c r="E25" s="15"/>
      <c r="F25" s="15"/>
      <c r="G25" s="15"/>
      <c r="H25" s="15"/>
      <c r="I25" s="15"/>
      <c r="J25" s="15"/>
      <c r="K25" s="15"/>
      <c r="L25" s="15"/>
      <c r="M25" s="15"/>
      <c r="N25" s="15"/>
      <c r="O25" s="15"/>
      <c r="P25" s="15"/>
      <c r="Q25" s="15"/>
      <c r="R25" s="15"/>
      <c r="S25" s="15"/>
      <c r="T25" s="15"/>
      <c r="U25" s="15"/>
      <c r="V25" s="24">
        <f t="shared" si="5"/>
        <v>0</v>
      </c>
      <c r="W25" s="20">
        <f t="shared" si="6"/>
        <v>0</v>
      </c>
    </row>
    <row r="26" ht="15.75" customHeight="1">
      <c r="A26" s="23" t="s">
        <v>104</v>
      </c>
      <c r="B26" s="15"/>
      <c r="C26" s="15"/>
      <c r="D26" s="15"/>
      <c r="E26" s="15">
        <v>1.0</v>
      </c>
      <c r="F26" s="15">
        <v>1.0</v>
      </c>
      <c r="G26" s="15">
        <v>1.0</v>
      </c>
      <c r="H26" s="15"/>
      <c r="I26" s="15">
        <v>1.0</v>
      </c>
      <c r="J26" s="15"/>
      <c r="K26" s="15"/>
      <c r="L26" s="15"/>
      <c r="M26" s="15"/>
      <c r="N26" s="15"/>
      <c r="O26" s="15"/>
      <c r="P26" s="15"/>
      <c r="Q26" s="15"/>
      <c r="R26" s="15"/>
      <c r="S26" s="15"/>
      <c r="T26" s="15"/>
      <c r="U26" s="15"/>
      <c r="V26" s="24">
        <f t="shared" si="5"/>
        <v>4</v>
      </c>
      <c r="W26" s="20">
        <f t="shared" si="6"/>
        <v>0</v>
      </c>
    </row>
    <row r="27" ht="15.75" customHeight="1">
      <c r="A27" s="23" t="s">
        <v>137</v>
      </c>
      <c r="B27" s="15"/>
      <c r="C27" s="15">
        <v>1.0</v>
      </c>
      <c r="D27" s="15">
        <v>1.0</v>
      </c>
      <c r="E27" s="15"/>
      <c r="F27" s="15">
        <v>1.0</v>
      </c>
      <c r="G27" s="15"/>
      <c r="H27" s="15">
        <v>1.0</v>
      </c>
      <c r="I27" s="15">
        <v>1.0</v>
      </c>
      <c r="J27" s="15"/>
      <c r="K27" s="15"/>
      <c r="L27" s="15"/>
      <c r="M27" s="15"/>
      <c r="N27" s="15"/>
      <c r="O27" s="15"/>
      <c r="P27" s="15"/>
      <c r="Q27" s="15"/>
      <c r="R27" s="15"/>
      <c r="S27" s="15"/>
      <c r="T27" s="15"/>
      <c r="U27" s="15"/>
      <c r="V27" s="24">
        <f t="shared" si="5"/>
        <v>5</v>
      </c>
      <c r="W27" s="20">
        <f t="shared" si="6"/>
        <v>0</v>
      </c>
    </row>
    <row r="28" ht="15.75" customHeight="1">
      <c r="A28" s="23" t="s">
        <v>101</v>
      </c>
      <c r="B28" s="15">
        <v>1.0</v>
      </c>
      <c r="C28" s="15">
        <v>1.0</v>
      </c>
      <c r="D28" s="15"/>
      <c r="E28" s="15">
        <v>1.0</v>
      </c>
      <c r="F28" s="15"/>
      <c r="G28" s="15">
        <v>1.0</v>
      </c>
      <c r="H28" s="15">
        <v>1.0</v>
      </c>
      <c r="I28" s="15">
        <v>1.0</v>
      </c>
      <c r="J28" s="15"/>
      <c r="K28" s="15"/>
      <c r="L28" s="15"/>
      <c r="M28" s="15"/>
      <c r="N28" s="15"/>
      <c r="O28" s="15"/>
      <c r="P28" s="15"/>
      <c r="Q28" s="15"/>
      <c r="R28" s="15"/>
      <c r="S28" s="15"/>
      <c r="T28" s="15"/>
      <c r="U28" s="15"/>
      <c r="V28" s="24">
        <f t="shared" si="5"/>
        <v>6</v>
      </c>
      <c r="W28" s="20">
        <f t="shared" si="6"/>
        <v>0</v>
      </c>
    </row>
    <row r="29" ht="15.75" customHeight="1">
      <c r="A29" s="23" t="s">
        <v>98</v>
      </c>
      <c r="B29" s="15">
        <v>1.0</v>
      </c>
      <c r="C29" s="15"/>
      <c r="D29" s="15">
        <v>1.0</v>
      </c>
      <c r="E29" s="15"/>
      <c r="F29" s="15">
        <v>1.0</v>
      </c>
      <c r="G29" s="15"/>
      <c r="H29" s="15"/>
      <c r="I29" s="15"/>
      <c r="J29" s="15"/>
      <c r="K29" s="15"/>
      <c r="L29" s="15"/>
      <c r="M29" s="15"/>
      <c r="N29" s="15"/>
      <c r="O29" s="15"/>
      <c r="P29" s="15"/>
      <c r="Q29" s="15"/>
      <c r="R29" s="15"/>
      <c r="S29" s="15"/>
      <c r="T29" s="15"/>
      <c r="U29" s="15"/>
      <c r="V29" s="24">
        <f t="shared" si="5"/>
        <v>3</v>
      </c>
      <c r="W29" s="20">
        <f t="shared" si="6"/>
        <v>0</v>
      </c>
    </row>
    <row r="30" ht="15.75" customHeight="1">
      <c r="A30" s="23" t="s">
        <v>138</v>
      </c>
      <c r="B30" s="15"/>
      <c r="C30" s="15"/>
      <c r="D30" s="15"/>
      <c r="E30" s="15"/>
      <c r="F30" s="15">
        <v>1.0</v>
      </c>
      <c r="G30" s="15"/>
      <c r="H30" s="15"/>
      <c r="I30" s="15"/>
      <c r="J30" s="15"/>
      <c r="K30" s="15"/>
      <c r="L30" s="15"/>
      <c r="M30" s="15"/>
      <c r="N30" s="15"/>
      <c r="O30" s="15"/>
      <c r="P30" s="15"/>
      <c r="Q30" s="15"/>
      <c r="R30" s="15"/>
      <c r="S30" s="15"/>
      <c r="T30" s="15"/>
      <c r="U30" s="15"/>
      <c r="V30" s="24">
        <f t="shared" si="5"/>
        <v>1</v>
      </c>
      <c r="W30" s="20">
        <f t="shared" si="6"/>
        <v>0</v>
      </c>
    </row>
    <row r="31" ht="15.75" customHeight="1">
      <c r="A31" s="23" t="s">
        <v>139</v>
      </c>
      <c r="B31" s="15"/>
      <c r="C31" s="15"/>
      <c r="D31" s="15"/>
      <c r="E31" s="15"/>
      <c r="F31" s="15"/>
      <c r="G31" s="15"/>
      <c r="H31" s="15"/>
      <c r="I31" s="15"/>
      <c r="J31" s="15"/>
      <c r="K31" s="15"/>
      <c r="L31" s="15"/>
      <c r="M31" s="15"/>
      <c r="N31" s="15"/>
      <c r="O31" s="15"/>
      <c r="P31" s="15"/>
      <c r="Q31" s="15"/>
      <c r="R31" s="15"/>
      <c r="S31" s="15"/>
      <c r="T31" s="15"/>
      <c r="U31" s="15"/>
      <c r="V31" s="24">
        <f t="shared" si="5"/>
        <v>0</v>
      </c>
      <c r="W31" s="20">
        <f t="shared" si="6"/>
        <v>0</v>
      </c>
    </row>
    <row r="32" ht="15.75" customHeight="1">
      <c r="A32" s="23" t="s">
        <v>140</v>
      </c>
      <c r="B32" s="15"/>
      <c r="C32" s="15"/>
      <c r="D32" s="15"/>
      <c r="E32" s="15"/>
      <c r="F32" s="15"/>
      <c r="G32" s="15"/>
      <c r="H32" s="15"/>
      <c r="I32" s="15"/>
      <c r="J32" s="15"/>
      <c r="K32" s="15"/>
      <c r="L32" s="15"/>
      <c r="M32" s="15"/>
      <c r="N32" s="15"/>
      <c r="O32" s="15"/>
      <c r="P32" s="15"/>
      <c r="Q32" s="15"/>
      <c r="R32" s="15"/>
      <c r="S32" s="15"/>
      <c r="T32" s="15"/>
      <c r="U32" s="15"/>
      <c r="V32" s="24">
        <f t="shared" si="5"/>
        <v>0</v>
      </c>
      <c r="W32" s="20">
        <f t="shared" si="6"/>
        <v>0</v>
      </c>
    </row>
    <row r="33" ht="15.75" customHeight="1">
      <c r="A33" s="23" t="s">
        <v>141</v>
      </c>
      <c r="B33" s="15"/>
      <c r="C33" s="15"/>
      <c r="D33" s="15"/>
      <c r="E33" s="15"/>
      <c r="F33" s="15"/>
      <c r="G33" s="15"/>
      <c r="H33" s="15"/>
      <c r="I33" s="15"/>
      <c r="J33" s="15"/>
      <c r="K33" s="15"/>
      <c r="L33" s="15"/>
      <c r="M33" s="15"/>
      <c r="N33" s="15"/>
      <c r="O33" s="15"/>
      <c r="P33" s="15"/>
      <c r="Q33" s="15"/>
      <c r="R33" s="15"/>
      <c r="S33" s="15"/>
      <c r="T33" s="15"/>
      <c r="U33" s="15"/>
      <c r="V33" s="24">
        <f t="shared" si="5"/>
        <v>0</v>
      </c>
      <c r="W33" s="20">
        <f t="shared" si="6"/>
        <v>0</v>
      </c>
    </row>
    <row r="34" ht="15.75" customHeight="1">
      <c r="A34" s="23" t="s">
        <v>105</v>
      </c>
      <c r="B34" s="15"/>
      <c r="C34" s="15"/>
      <c r="D34" s="15">
        <v>1.0</v>
      </c>
      <c r="E34" s="15"/>
      <c r="F34" s="15">
        <v>1.0</v>
      </c>
      <c r="G34" s="15">
        <v>1.0</v>
      </c>
      <c r="H34" s="15">
        <v>1.0</v>
      </c>
      <c r="I34" s="15">
        <v>1.0</v>
      </c>
      <c r="J34" s="15"/>
      <c r="K34" s="15"/>
      <c r="L34" s="15"/>
      <c r="M34" s="15"/>
      <c r="N34" s="15"/>
      <c r="O34" s="15"/>
      <c r="P34" s="15"/>
      <c r="Q34" s="15"/>
      <c r="R34" s="15"/>
      <c r="S34" s="15"/>
      <c r="T34" s="15"/>
      <c r="U34" s="15"/>
      <c r="V34" s="24">
        <f t="shared" si="5"/>
        <v>5</v>
      </c>
      <c r="W34" s="20">
        <f t="shared" si="6"/>
        <v>0</v>
      </c>
    </row>
    <row r="35" ht="15.75" customHeight="1">
      <c r="A35" s="23" t="s">
        <v>111</v>
      </c>
      <c r="B35" s="15"/>
      <c r="C35" s="15">
        <v>1.0</v>
      </c>
      <c r="D35" s="15"/>
      <c r="E35" s="15"/>
      <c r="F35" s="15">
        <v>1.0</v>
      </c>
      <c r="G35" s="15">
        <v>1.0</v>
      </c>
      <c r="H35" s="15"/>
      <c r="I35" s="15"/>
      <c r="J35" s="15"/>
      <c r="K35" s="15"/>
      <c r="L35" s="15"/>
      <c r="M35" s="15"/>
      <c r="N35" s="15"/>
      <c r="O35" s="15"/>
      <c r="P35" s="15"/>
      <c r="Q35" s="15"/>
      <c r="R35" s="15"/>
      <c r="S35" s="15"/>
      <c r="T35" s="15"/>
      <c r="U35" s="15"/>
      <c r="V35" s="24">
        <f t="shared" si="5"/>
        <v>3</v>
      </c>
      <c r="W35" s="20">
        <f t="shared" si="6"/>
        <v>0</v>
      </c>
    </row>
    <row r="36" ht="15.75" customHeight="1">
      <c r="A36" s="23" t="s">
        <v>102</v>
      </c>
      <c r="B36" s="15">
        <v>1.0</v>
      </c>
      <c r="C36" s="15">
        <v>1.0</v>
      </c>
      <c r="D36" s="15">
        <v>1.0</v>
      </c>
      <c r="E36" s="15">
        <v>1.0</v>
      </c>
      <c r="F36" s="15"/>
      <c r="G36" s="15"/>
      <c r="H36" s="15"/>
      <c r="I36" s="15"/>
      <c r="J36" s="15"/>
      <c r="K36" s="15"/>
      <c r="L36" s="15"/>
      <c r="M36" s="15"/>
      <c r="N36" s="15"/>
      <c r="O36" s="15"/>
      <c r="P36" s="15"/>
      <c r="Q36" s="15"/>
      <c r="R36" s="15"/>
      <c r="S36" s="15"/>
      <c r="T36" s="15"/>
      <c r="U36" s="15"/>
      <c r="V36" s="24">
        <f t="shared" si="5"/>
        <v>4</v>
      </c>
      <c r="W36" s="20">
        <f t="shared" si="6"/>
        <v>0</v>
      </c>
    </row>
    <row r="37" ht="15.75" customHeight="1">
      <c r="A37" s="23" t="s">
        <v>142</v>
      </c>
      <c r="B37" s="15"/>
      <c r="C37" s="15">
        <v>1.0</v>
      </c>
      <c r="D37" s="15"/>
      <c r="E37" s="15"/>
      <c r="F37" s="15"/>
      <c r="G37" s="15"/>
      <c r="H37" s="15"/>
      <c r="I37" s="15"/>
      <c r="J37" s="15"/>
      <c r="K37" s="15"/>
      <c r="L37" s="15"/>
      <c r="M37" s="15"/>
      <c r="N37" s="15"/>
      <c r="O37" s="15"/>
      <c r="P37" s="15"/>
      <c r="Q37" s="15"/>
      <c r="R37" s="15"/>
      <c r="S37" s="15"/>
      <c r="T37" s="15"/>
      <c r="U37" s="15"/>
      <c r="V37" s="24">
        <f t="shared" si="5"/>
        <v>1</v>
      </c>
      <c r="W37" s="20">
        <f t="shared" si="6"/>
        <v>0</v>
      </c>
    </row>
    <row r="38" ht="15.75" customHeight="1">
      <c r="A38" s="23" t="s">
        <v>99</v>
      </c>
      <c r="B38" s="15">
        <v>1.0</v>
      </c>
      <c r="C38" s="15"/>
      <c r="D38" s="15">
        <v>1.0</v>
      </c>
      <c r="E38" s="15"/>
      <c r="F38" s="15">
        <v>1.0</v>
      </c>
      <c r="G38" s="15">
        <v>1.0</v>
      </c>
      <c r="H38" s="15">
        <v>1.0</v>
      </c>
      <c r="I38" s="15">
        <v>1.0</v>
      </c>
      <c r="J38" s="15"/>
      <c r="K38" s="15"/>
      <c r="L38" s="15"/>
      <c r="M38" s="15"/>
      <c r="N38" s="15"/>
      <c r="O38" s="15"/>
      <c r="P38" s="15"/>
      <c r="Q38" s="15"/>
      <c r="R38" s="15"/>
      <c r="S38" s="15"/>
      <c r="T38" s="15"/>
      <c r="U38" s="15"/>
      <c r="V38" s="24">
        <f t="shared" si="5"/>
        <v>6</v>
      </c>
      <c r="W38" s="20">
        <f t="shared" si="6"/>
        <v>0</v>
      </c>
    </row>
    <row r="39" ht="15.75" customHeight="1">
      <c r="A39" s="23" t="s">
        <v>143</v>
      </c>
      <c r="B39" s="15">
        <v>1.0</v>
      </c>
      <c r="C39" s="15">
        <v>1.0</v>
      </c>
      <c r="D39" s="15"/>
      <c r="E39" s="15">
        <v>1.0</v>
      </c>
      <c r="F39" s="15"/>
      <c r="G39" s="15">
        <v>1.0</v>
      </c>
      <c r="H39" s="15"/>
      <c r="I39" s="15">
        <v>1.0</v>
      </c>
      <c r="J39" s="15"/>
      <c r="K39" s="15"/>
      <c r="L39" s="15"/>
      <c r="M39" s="15"/>
      <c r="N39" s="15"/>
      <c r="O39" s="15"/>
      <c r="P39" s="15"/>
      <c r="Q39" s="15"/>
      <c r="R39" s="15"/>
      <c r="S39" s="15"/>
      <c r="T39" s="15"/>
      <c r="U39" s="15"/>
      <c r="V39" s="24">
        <f t="shared" si="5"/>
        <v>5</v>
      </c>
      <c r="W39" s="20">
        <f t="shared" si="6"/>
        <v>0</v>
      </c>
    </row>
    <row r="40" ht="15.75" customHeight="1">
      <c r="A40" s="23"/>
      <c r="B40" s="15"/>
      <c r="C40" s="15"/>
      <c r="D40" s="15"/>
      <c r="E40" s="15"/>
      <c r="F40" s="15"/>
      <c r="G40" s="15"/>
      <c r="H40" s="15"/>
      <c r="I40" s="15"/>
      <c r="J40" s="15"/>
      <c r="K40" s="15"/>
      <c r="L40" s="15"/>
      <c r="M40" s="15"/>
      <c r="N40" s="15"/>
      <c r="O40" s="15"/>
      <c r="P40" s="15"/>
      <c r="Q40" s="15"/>
      <c r="R40" s="15"/>
      <c r="S40" s="15"/>
      <c r="T40" s="15"/>
      <c r="U40" s="15"/>
      <c r="V40" s="24">
        <f t="shared" si="5"/>
        <v>0</v>
      </c>
      <c r="W40" s="20">
        <f t="shared" si="6"/>
        <v>0</v>
      </c>
    </row>
    <row r="41" ht="15.75" customHeight="1">
      <c r="A41" s="23"/>
      <c r="B41" s="15"/>
      <c r="C41" s="15"/>
      <c r="D41" s="15"/>
      <c r="E41" s="15"/>
      <c r="F41" s="15"/>
      <c r="G41" s="15"/>
      <c r="H41" s="15"/>
      <c r="I41" s="15"/>
      <c r="J41" s="15"/>
      <c r="K41" s="15"/>
      <c r="L41" s="15"/>
      <c r="M41" s="15"/>
      <c r="N41" s="15"/>
      <c r="O41" s="15"/>
      <c r="P41" s="15"/>
      <c r="Q41" s="15"/>
      <c r="R41" s="15"/>
      <c r="S41" s="15"/>
      <c r="T41" s="15"/>
      <c r="U41" s="15"/>
      <c r="V41" s="24">
        <f t="shared" si="5"/>
        <v>0</v>
      </c>
      <c r="W41" s="20">
        <f t="shared" si="6"/>
        <v>0</v>
      </c>
    </row>
    <row r="42" ht="15.75" customHeight="1">
      <c r="A42" s="23"/>
      <c r="B42" s="15"/>
      <c r="C42" s="15"/>
      <c r="D42" s="15"/>
      <c r="E42" s="15"/>
      <c r="F42" s="15"/>
      <c r="G42" s="15"/>
      <c r="H42" s="15"/>
      <c r="I42" s="15"/>
      <c r="J42" s="15"/>
      <c r="K42" s="15"/>
      <c r="L42" s="15"/>
      <c r="M42" s="15"/>
      <c r="N42" s="15"/>
      <c r="O42" s="15"/>
      <c r="P42" s="15"/>
      <c r="Q42" s="15"/>
      <c r="R42" s="15"/>
      <c r="S42" s="15"/>
      <c r="T42" s="15"/>
      <c r="U42" s="15"/>
      <c r="V42" s="24">
        <f t="shared" si="5"/>
        <v>0</v>
      </c>
      <c r="W42" s="20">
        <f t="shared" si="6"/>
        <v>0</v>
      </c>
    </row>
    <row r="43" ht="15.75" customHeight="1">
      <c r="A43" s="23"/>
      <c r="B43" s="15"/>
      <c r="C43" s="15"/>
      <c r="D43" s="15"/>
      <c r="E43" s="15"/>
      <c r="F43" s="15"/>
      <c r="G43" s="15"/>
      <c r="H43" s="15"/>
      <c r="I43" s="15"/>
      <c r="J43" s="15"/>
      <c r="K43" s="15"/>
      <c r="L43" s="15"/>
      <c r="M43" s="15"/>
      <c r="N43" s="15"/>
      <c r="O43" s="15"/>
      <c r="P43" s="15"/>
      <c r="Q43" s="15"/>
      <c r="R43" s="15"/>
      <c r="S43" s="15"/>
      <c r="T43" s="15"/>
      <c r="U43" s="15"/>
      <c r="V43" s="24">
        <f t="shared" si="5"/>
        <v>0</v>
      </c>
      <c r="W43" s="20">
        <f t="shared" si="6"/>
        <v>0</v>
      </c>
    </row>
    <row r="44" ht="15.75" customHeight="1">
      <c r="A44" s="23"/>
      <c r="B44" s="15"/>
      <c r="C44" s="15"/>
      <c r="D44" s="15"/>
      <c r="E44" s="15"/>
      <c r="F44" s="15"/>
      <c r="G44" s="15"/>
      <c r="H44" s="15"/>
      <c r="I44" s="15"/>
      <c r="J44" s="15"/>
      <c r="K44" s="15"/>
      <c r="L44" s="15"/>
      <c r="M44" s="15"/>
      <c r="N44" s="15"/>
      <c r="O44" s="15"/>
      <c r="P44" s="15"/>
      <c r="Q44" s="15"/>
      <c r="R44" s="15"/>
      <c r="S44" s="15"/>
      <c r="T44" s="15"/>
      <c r="U44" s="15"/>
      <c r="V44" s="24">
        <f t="shared" si="5"/>
        <v>0</v>
      </c>
      <c r="W44" s="20">
        <f t="shared" si="6"/>
        <v>0</v>
      </c>
    </row>
    <row r="45" ht="15.75" customHeight="1">
      <c r="A45" s="23"/>
      <c r="B45" s="15"/>
      <c r="C45" s="15"/>
      <c r="D45" s="15"/>
      <c r="E45" s="15"/>
      <c r="F45" s="15"/>
      <c r="G45" s="15"/>
      <c r="H45" s="15"/>
      <c r="I45" s="15"/>
      <c r="J45" s="15"/>
      <c r="K45" s="15"/>
      <c r="L45" s="15"/>
      <c r="M45" s="15"/>
      <c r="N45" s="15"/>
      <c r="O45" s="15"/>
      <c r="P45" s="15"/>
      <c r="Q45" s="15"/>
      <c r="R45" s="15"/>
      <c r="S45" s="15"/>
      <c r="T45" s="15"/>
      <c r="U45" s="15"/>
      <c r="V45" s="24">
        <f t="shared" si="5"/>
        <v>0</v>
      </c>
      <c r="W45" s="20">
        <f t="shared" si="6"/>
        <v>0</v>
      </c>
    </row>
    <row r="46" ht="15.75" customHeight="1">
      <c r="A46" s="7" t="s">
        <v>144</v>
      </c>
      <c r="V46" s="24">
        <f t="shared" ref="V46:W46" si="7">SUM(V18:V45)</f>
        <v>56</v>
      </c>
      <c r="W46" s="25">
        <f t="shared" si="7"/>
        <v>0</v>
      </c>
    </row>
    <row r="47" ht="15.75" customHeight="1"/>
    <row r="48" ht="15.75" customHeight="1">
      <c r="A48" s="21" t="s">
        <v>146</v>
      </c>
      <c r="B48" s="22" t="s">
        <v>41</v>
      </c>
      <c r="C48" s="22" t="s">
        <v>42</v>
      </c>
      <c r="D48" s="22" t="s">
        <v>43</v>
      </c>
      <c r="E48" s="22" t="s">
        <v>44</v>
      </c>
      <c r="F48" s="22" t="s">
        <v>45</v>
      </c>
      <c r="G48" s="22" t="s">
        <v>46</v>
      </c>
      <c r="H48" s="22" t="s">
        <v>47</v>
      </c>
      <c r="I48" s="22" t="s">
        <v>48</v>
      </c>
      <c r="J48" s="22" t="s">
        <v>49</v>
      </c>
      <c r="K48" s="22" t="s">
        <v>50</v>
      </c>
      <c r="L48" s="22" t="s">
        <v>51</v>
      </c>
      <c r="M48" s="22" t="s">
        <v>52</v>
      </c>
      <c r="N48" s="22" t="s">
        <v>53</v>
      </c>
      <c r="O48" s="22" t="s">
        <v>54</v>
      </c>
      <c r="P48" s="22" t="s">
        <v>55</v>
      </c>
      <c r="Q48" s="22" t="s">
        <v>56</v>
      </c>
      <c r="R48" s="22" t="s">
        <v>57</v>
      </c>
      <c r="S48" s="22" t="s">
        <v>58</v>
      </c>
      <c r="T48" s="22" t="s">
        <v>59</v>
      </c>
      <c r="U48" s="22" t="s">
        <v>60</v>
      </c>
      <c r="V48" s="22" t="s">
        <v>147</v>
      </c>
    </row>
    <row r="49" ht="15.75" customHeight="1">
      <c r="A49" s="23" t="str">
        <f t="shared" ref="A49:A76" si="8">IF($A18="","",$A18)</f>
        <v>Ahmed</v>
      </c>
      <c r="B49" s="15"/>
      <c r="C49" s="15"/>
      <c r="D49" s="15"/>
      <c r="E49" s="15"/>
      <c r="F49" s="15"/>
      <c r="G49" s="15"/>
      <c r="H49" s="15"/>
      <c r="I49" s="15"/>
      <c r="J49" s="15"/>
      <c r="K49" s="15"/>
      <c r="L49" s="15"/>
      <c r="M49" s="15"/>
      <c r="N49" s="15"/>
      <c r="O49" s="15"/>
      <c r="P49" s="15"/>
      <c r="Q49" s="15"/>
      <c r="R49" s="15"/>
      <c r="S49" s="15"/>
      <c r="T49" s="15"/>
      <c r="U49" s="15"/>
      <c r="V49" s="24">
        <f t="shared" ref="V49:V76" si="9">SUMPRODUCT(B49:U49*($B$16:$U$16=""))</f>
        <v>0</v>
      </c>
    </row>
    <row r="50" ht="15.75" customHeight="1">
      <c r="A50" s="23" t="str">
        <f t="shared" si="8"/>
        <v>Alex Ruben</v>
      </c>
      <c r="B50" s="15"/>
      <c r="C50" s="15"/>
      <c r="D50" s="15"/>
      <c r="E50" s="15"/>
      <c r="F50" s="15"/>
      <c r="G50" s="15"/>
      <c r="H50" s="15"/>
      <c r="I50" s="15"/>
      <c r="J50" s="15"/>
      <c r="K50" s="15"/>
      <c r="L50" s="15"/>
      <c r="M50" s="15"/>
      <c r="N50" s="15"/>
      <c r="O50" s="15"/>
      <c r="P50" s="15"/>
      <c r="Q50" s="15"/>
      <c r="R50" s="15"/>
      <c r="S50" s="15"/>
      <c r="T50" s="15"/>
      <c r="U50" s="15"/>
      <c r="V50" s="24">
        <f t="shared" si="9"/>
        <v>0</v>
      </c>
    </row>
    <row r="51" ht="15.75" customHeight="1">
      <c r="A51" s="23" t="str">
        <f t="shared" si="8"/>
        <v>Andy Cowan</v>
      </c>
      <c r="B51" s="15"/>
      <c r="C51" s="15"/>
      <c r="D51" s="15"/>
      <c r="E51" s="15"/>
      <c r="F51" s="15"/>
      <c r="G51" s="15"/>
      <c r="H51" s="15"/>
      <c r="I51" s="15"/>
      <c r="J51" s="15"/>
      <c r="K51" s="15"/>
      <c r="L51" s="15"/>
      <c r="M51" s="15"/>
      <c r="N51" s="15"/>
      <c r="O51" s="15"/>
      <c r="P51" s="15"/>
      <c r="Q51" s="15"/>
      <c r="R51" s="15"/>
      <c r="S51" s="15"/>
      <c r="T51" s="15"/>
      <c r="U51" s="15"/>
      <c r="V51" s="24">
        <f t="shared" si="9"/>
        <v>0</v>
      </c>
    </row>
    <row r="52" ht="15.75" customHeight="1">
      <c r="A52" s="23" t="str">
        <f t="shared" si="8"/>
        <v>Ben Merrett</v>
      </c>
      <c r="B52" s="15"/>
      <c r="C52" s="15"/>
      <c r="D52" s="15"/>
      <c r="E52" s="15"/>
      <c r="F52" s="15"/>
      <c r="G52" s="15"/>
      <c r="H52" s="15"/>
      <c r="I52" s="15"/>
      <c r="J52" s="15"/>
      <c r="K52" s="15"/>
      <c r="L52" s="15"/>
      <c r="M52" s="15"/>
      <c r="N52" s="15"/>
      <c r="O52" s="15"/>
      <c r="P52" s="15"/>
      <c r="Q52" s="15"/>
      <c r="R52" s="15"/>
      <c r="S52" s="15"/>
      <c r="T52" s="15"/>
      <c r="U52" s="15"/>
      <c r="V52" s="24">
        <f t="shared" si="9"/>
        <v>0</v>
      </c>
    </row>
    <row r="53" ht="15.75" customHeight="1">
      <c r="A53" s="23" t="str">
        <f t="shared" si="8"/>
        <v>Callum McCarthy</v>
      </c>
      <c r="B53" s="15"/>
      <c r="C53" s="15"/>
      <c r="D53" s="15"/>
      <c r="E53" s="15"/>
      <c r="F53" s="15"/>
      <c r="G53" s="15"/>
      <c r="H53" s="15"/>
      <c r="I53" s="15"/>
      <c r="J53" s="15"/>
      <c r="K53" s="15"/>
      <c r="L53" s="15"/>
      <c r="M53" s="15"/>
      <c r="N53" s="15"/>
      <c r="O53" s="15"/>
      <c r="P53" s="15"/>
      <c r="Q53" s="15"/>
      <c r="R53" s="15"/>
      <c r="S53" s="15"/>
      <c r="T53" s="15"/>
      <c r="U53" s="15"/>
      <c r="V53" s="24">
        <f t="shared" si="9"/>
        <v>0</v>
      </c>
    </row>
    <row r="54" ht="15.75" customHeight="1">
      <c r="A54" s="23" t="str">
        <f t="shared" si="8"/>
        <v>Cecil Watson</v>
      </c>
      <c r="B54" s="15"/>
      <c r="C54" s="15"/>
      <c r="D54" s="15"/>
      <c r="E54" s="15"/>
      <c r="F54" s="15"/>
      <c r="G54" s="15"/>
      <c r="H54" s="15"/>
      <c r="I54" s="15"/>
      <c r="J54" s="15"/>
      <c r="K54" s="15"/>
      <c r="L54" s="15"/>
      <c r="M54" s="15"/>
      <c r="N54" s="15"/>
      <c r="O54" s="15"/>
      <c r="P54" s="15"/>
      <c r="Q54" s="15"/>
      <c r="R54" s="15"/>
      <c r="S54" s="15"/>
      <c r="T54" s="15"/>
      <c r="U54" s="15"/>
      <c r="V54" s="24">
        <f t="shared" si="9"/>
        <v>0</v>
      </c>
    </row>
    <row r="55" ht="15.75" customHeight="1">
      <c r="A55" s="23" t="str">
        <f t="shared" si="8"/>
        <v>Conall Templeman</v>
      </c>
      <c r="B55" s="15"/>
      <c r="C55" s="15"/>
      <c r="D55" s="15"/>
      <c r="E55" s="15"/>
      <c r="F55" s="15"/>
      <c r="G55" s="15"/>
      <c r="H55" s="15"/>
      <c r="I55" s="15"/>
      <c r="J55" s="15"/>
      <c r="K55" s="15"/>
      <c r="L55" s="15"/>
      <c r="M55" s="15"/>
      <c r="N55" s="15"/>
      <c r="O55" s="15"/>
      <c r="P55" s="15"/>
      <c r="Q55" s="15"/>
      <c r="R55" s="15"/>
      <c r="S55" s="15"/>
      <c r="T55" s="15"/>
      <c r="U55" s="15"/>
      <c r="V55" s="24">
        <f t="shared" si="9"/>
        <v>0</v>
      </c>
    </row>
    <row r="56" ht="15.75" customHeight="1">
      <c r="A56" s="23" t="str">
        <f t="shared" si="8"/>
        <v>Eddie Ringer</v>
      </c>
      <c r="B56" s="15"/>
      <c r="C56" s="15"/>
      <c r="D56" s="15"/>
      <c r="E56" s="15"/>
      <c r="F56" s="15"/>
      <c r="G56" s="15"/>
      <c r="H56" s="15"/>
      <c r="I56" s="15"/>
      <c r="J56" s="15"/>
      <c r="K56" s="15"/>
      <c r="L56" s="15"/>
      <c r="M56" s="15"/>
      <c r="N56" s="15"/>
      <c r="O56" s="15"/>
      <c r="P56" s="15"/>
      <c r="Q56" s="15"/>
      <c r="R56" s="15"/>
      <c r="S56" s="15"/>
      <c r="T56" s="15"/>
      <c r="U56" s="15"/>
      <c r="V56" s="24">
        <f t="shared" si="9"/>
        <v>0</v>
      </c>
    </row>
    <row r="57" ht="15.75" customHeight="1">
      <c r="A57" s="23" t="str">
        <f t="shared" si="8"/>
        <v>Finn Cawley</v>
      </c>
      <c r="B57" s="15"/>
      <c r="C57" s="15"/>
      <c r="D57" s="15"/>
      <c r="E57" s="15"/>
      <c r="F57" s="15">
        <v>2.0</v>
      </c>
      <c r="G57" s="15">
        <v>1.0</v>
      </c>
      <c r="H57" s="15"/>
      <c r="I57" s="15"/>
      <c r="J57" s="15"/>
      <c r="K57" s="15"/>
      <c r="L57" s="15"/>
      <c r="M57" s="15"/>
      <c r="N57" s="15"/>
      <c r="O57" s="15"/>
      <c r="P57" s="15"/>
      <c r="Q57" s="15"/>
      <c r="R57" s="15"/>
      <c r="S57" s="15"/>
      <c r="T57" s="15"/>
      <c r="U57" s="15"/>
      <c r="V57" s="24">
        <f t="shared" si="9"/>
        <v>3</v>
      </c>
    </row>
    <row r="58" ht="15.75" customHeight="1">
      <c r="A58" s="23" t="str">
        <f t="shared" si="8"/>
        <v>George Barbantan</v>
      </c>
      <c r="B58" s="15"/>
      <c r="C58" s="15"/>
      <c r="D58" s="15"/>
      <c r="E58" s="15"/>
      <c r="F58" s="15"/>
      <c r="G58" s="15"/>
      <c r="H58" s="15"/>
      <c r="I58" s="15">
        <v>2.0</v>
      </c>
      <c r="J58" s="15"/>
      <c r="K58" s="15"/>
      <c r="L58" s="15"/>
      <c r="M58" s="15"/>
      <c r="N58" s="15"/>
      <c r="O58" s="15"/>
      <c r="P58" s="15"/>
      <c r="Q58" s="15"/>
      <c r="R58" s="15"/>
      <c r="S58" s="15"/>
      <c r="T58" s="15"/>
      <c r="U58" s="15"/>
      <c r="V58" s="24">
        <f t="shared" si="9"/>
        <v>2</v>
      </c>
    </row>
    <row r="59" ht="15.75" customHeight="1">
      <c r="A59" s="23" t="str">
        <f t="shared" si="8"/>
        <v>Henry Linklater</v>
      </c>
      <c r="B59" s="15"/>
      <c r="C59" s="15"/>
      <c r="D59" s="15"/>
      <c r="E59" s="15"/>
      <c r="F59" s="15"/>
      <c r="G59" s="15"/>
      <c r="H59" s="15"/>
      <c r="I59" s="15"/>
      <c r="J59" s="15"/>
      <c r="K59" s="15"/>
      <c r="L59" s="15"/>
      <c r="M59" s="15"/>
      <c r="N59" s="15"/>
      <c r="O59" s="15"/>
      <c r="P59" s="15"/>
      <c r="Q59" s="15"/>
      <c r="R59" s="15"/>
      <c r="S59" s="15"/>
      <c r="T59" s="15"/>
      <c r="U59" s="15"/>
      <c r="V59" s="24">
        <f t="shared" si="9"/>
        <v>0</v>
      </c>
    </row>
    <row r="60" ht="15.75" customHeight="1">
      <c r="A60" s="23" t="str">
        <f t="shared" si="8"/>
        <v>Isaac Mond</v>
      </c>
      <c r="B60" s="15"/>
      <c r="C60" s="15"/>
      <c r="D60" s="15"/>
      <c r="E60" s="15"/>
      <c r="F60" s="15"/>
      <c r="G60" s="15"/>
      <c r="H60" s="15"/>
      <c r="I60" s="15"/>
      <c r="J60" s="15"/>
      <c r="K60" s="15"/>
      <c r="L60" s="15"/>
      <c r="M60" s="15"/>
      <c r="N60" s="15"/>
      <c r="O60" s="15"/>
      <c r="P60" s="15"/>
      <c r="Q60" s="15"/>
      <c r="R60" s="15"/>
      <c r="S60" s="15"/>
      <c r="T60" s="15"/>
      <c r="U60" s="15"/>
      <c r="V60" s="24">
        <f t="shared" si="9"/>
        <v>0</v>
      </c>
    </row>
    <row r="61" ht="15.75" customHeight="1">
      <c r="A61" s="23" t="str">
        <f t="shared" si="8"/>
        <v>Jake Harrison</v>
      </c>
      <c r="B61" s="15"/>
      <c r="C61" s="15"/>
      <c r="D61" s="15"/>
      <c r="E61" s="15"/>
      <c r="F61" s="15"/>
      <c r="G61" s="15"/>
      <c r="H61" s="15"/>
      <c r="I61" s="15"/>
      <c r="J61" s="15"/>
      <c r="K61" s="15"/>
      <c r="L61" s="15"/>
      <c r="M61" s="15"/>
      <c r="N61" s="15"/>
      <c r="O61" s="15"/>
      <c r="P61" s="15"/>
      <c r="Q61" s="15"/>
      <c r="R61" s="15"/>
      <c r="S61" s="15"/>
      <c r="T61" s="15"/>
      <c r="U61" s="15"/>
      <c r="V61" s="24">
        <f t="shared" si="9"/>
        <v>0</v>
      </c>
    </row>
    <row r="62" ht="15.75" customHeight="1">
      <c r="A62" s="23" t="str">
        <f t="shared" si="8"/>
        <v>Jake Ringer</v>
      </c>
      <c r="B62" s="15"/>
      <c r="C62" s="15"/>
      <c r="D62" s="15"/>
      <c r="E62" s="15"/>
      <c r="F62" s="15"/>
      <c r="G62" s="15"/>
      <c r="H62" s="15"/>
      <c r="I62" s="15"/>
      <c r="J62" s="15"/>
      <c r="K62" s="15"/>
      <c r="L62" s="15"/>
      <c r="M62" s="15"/>
      <c r="N62" s="15"/>
      <c r="O62" s="15"/>
      <c r="P62" s="15"/>
      <c r="Q62" s="15"/>
      <c r="R62" s="15"/>
      <c r="S62" s="15"/>
      <c r="T62" s="15"/>
      <c r="U62" s="15"/>
      <c r="V62" s="24">
        <f t="shared" si="9"/>
        <v>0</v>
      </c>
    </row>
    <row r="63" ht="15.75" customHeight="1">
      <c r="A63" s="23" t="str">
        <f t="shared" si="8"/>
        <v>Keshav Singh</v>
      </c>
      <c r="B63" s="15"/>
      <c r="C63" s="15"/>
      <c r="D63" s="15"/>
      <c r="E63" s="15"/>
      <c r="F63" s="15"/>
      <c r="G63" s="15"/>
      <c r="H63" s="15"/>
      <c r="I63" s="15"/>
      <c r="J63" s="15"/>
      <c r="K63" s="15"/>
      <c r="L63" s="15"/>
      <c r="M63" s="15"/>
      <c r="N63" s="15"/>
      <c r="O63" s="15"/>
      <c r="P63" s="15"/>
      <c r="Q63" s="15"/>
      <c r="R63" s="15"/>
      <c r="S63" s="15"/>
      <c r="T63" s="15"/>
      <c r="U63" s="15"/>
      <c r="V63" s="24">
        <f t="shared" si="9"/>
        <v>0</v>
      </c>
    </row>
    <row r="64" ht="15.75" customHeight="1">
      <c r="A64" s="23" t="str">
        <f t="shared" si="8"/>
        <v>Mark Pellowe</v>
      </c>
      <c r="B64" s="15"/>
      <c r="C64" s="15"/>
      <c r="D64" s="15"/>
      <c r="E64" s="15"/>
      <c r="F64" s="15"/>
      <c r="G64" s="15"/>
      <c r="H64" s="15"/>
      <c r="I64" s="15"/>
      <c r="J64" s="15"/>
      <c r="K64" s="15"/>
      <c r="L64" s="15"/>
      <c r="M64" s="15"/>
      <c r="N64" s="15"/>
      <c r="O64" s="15"/>
      <c r="P64" s="15"/>
      <c r="Q64" s="15"/>
      <c r="R64" s="15"/>
      <c r="S64" s="15"/>
      <c r="T64" s="15"/>
      <c r="U64" s="15"/>
      <c r="V64" s="24">
        <f t="shared" si="9"/>
        <v>0</v>
      </c>
    </row>
    <row r="65" ht="15.75" customHeight="1">
      <c r="A65" s="23" t="str">
        <f t="shared" si="8"/>
        <v>Max Cobain</v>
      </c>
      <c r="B65" s="15"/>
      <c r="C65" s="15"/>
      <c r="D65" s="15">
        <v>1.0</v>
      </c>
      <c r="E65" s="15"/>
      <c r="F65" s="15">
        <v>1.0</v>
      </c>
      <c r="G65" s="15">
        <v>1.0</v>
      </c>
      <c r="H65" s="15">
        <v>1.0</v>
      </c>
      <c r="I65" s="15"/>
      <c r="J65" s="15"/>
      <c r="K65" s="15"/>
      <c r="L65" s="15"/>
      <c r="M65" s="15"/>
      <c r="N65" s="15"/>
      <c r="O65" s="15"/>
      <c r="P65" s="15"/>
      <c r="Q65" s="15"/>
      <c r="R65" s="15"/>
      <c r="S65" s="15"/>
      <c r="T65" s="15"/>
      <c r="U65" s="15"/>
      <c r="V65" s="24">
        <f t="shared" si="9"/>
        <v>4</v>
      </c>
    </row>
    <row r="66" ht="15.75" customHeight="1">
      <c r="A66" s="23" t="str">
        <f t="shared" si="8"/>
        <v>Neeraj Radia</v>
      </c>
      <c r="B66" s="15"/>
      <c r="C66" s="15"/>
      <c r="D66" s="15"/>
      <c r="E66" s="15"/>
      <c r="F66" s="15"/>
      <c r="G66" s="15"/>
      <c r="H66" s="15"/>
      <c r="I66" s="15"/>
      <c r="J66" s="15"/>
      <c r="K66" s="15"/>
      <c r="L66" s="15"/>
      <c r="M66" s="15"/>
      <c r="N66" s="15"/>
      <c r="O66" s="15"/>
      <c r="P66" s="15"/>
      <c r="Q66" s="15"/>
      <c r="R66" s="15"/>
      <c r="S66" s="15"/>
      <c r="T66" s="15"/>
      <c r="U66" s="15"/>
      <c r="V66" s="24">
        <f t="shared" si="9"/>
        <v>0</v>
      </c>
    </row>
    <row r="67" ht="15.75" customHeight="1">
      <c r="A67" s="23" t="str">
        <f t="shared" si="8"/>
        <v>Phil Knott</v>
      </c>
      <c r="B67" s="15"/>
      <c r="C67" s="15"/>
      <c r="D67" s="15"/>
      <c r="E67" s="15">
        <v>1.0</v>
      </c>
      <c r="F67" s="15"/>
      <c r="G67" s="15"/>
      <c r="H67" s="15"/>
      <c r="I67" s="15"/>
      <c r="J67" s="15"/>
      <c r="K67" s="15"/>
      <c r="L67" s="15"/>
      <c r="M67" s="15"/>
      <c r="N67" s="15"/>
      <c r="O67" s="15"/>
      <c r="P67" s="15"/>
      <c r="Q67" s="15"/>
      <c r="R67" s="15"/>
      <c r="S67" s="15"/>
      <c r="T67" s="15"/>
      <c r="U67" s="15"/>
      <c r="V67" s="24">
        <f t="shared" si="9"/>
        <v>1</v>
      </c>
    </row>
    <row r="68" ht="15.75" customHeight="1">
      <c r="A68" s="23" t="str">
        <f t="shared" si="8"/>
        <v>Robin</v>
      </c>
      <c r="B68" s="15"/>
      <c r="C68" s="15"/>
      <c r="D68" s="15"/>
      <c r="E68" s="15"/>
      <c r="F68" s="15"/>
      <c r="G68" s="15"/>
      <c r="H68" s="15"/>
      <c r="I68" s="15"/>
      <c r="J68" s="15"/>
      <c r="K68" s="15"/>
      <c r="L68" s="15"/>
      <c r="M68" s="15"/>
      <c r="N68" s="15"/>
      <c r="O68" s="15"/>
      <c r="P68" s="15"/>
      <c r="Q68" s="15"/>
      <c r="R68" s="15"/>
      <c r="S68" s="15"/>
      <c r="T68" s="15"/>
      <c r="U68" s="15"/>
      <c r="V68" s="24">
        <f t="shared" si="9"/>
        <v>0</v>
      </c>
    </row>
    <row r="69" ht="15.75" customHeight="1">
      <c r="A69" s="23" t="str">
        <f t="shared" si="8"/>
        <v>Sam Holt</v>
      </c>
      <c r="B69" s="15">
        <v>1.0</v>
      </c>
      <c r="C69" s="15"/>
      <c r="D69" s="15"/>
      <c r="E69" s="15"/>
      <c r="F69" s="15"/>
      <c r="G69" s="15"/>
      <c r="H69" s="15"/>
      <c r="I69" s="15"/>
      <c r="J69" s="15"/>
      <c r="K69" s="15"/>
      <c r="L69" s="15"/>
      <c r="M69" s="15"/>
      <c r="N69" s="15"/>
      <c r="O69" s="15"/>
      <c r="P69" s="15"/>
      <c r="Q69" s="15"/>
      <c r="R69" s="15"/>
      <c r="S69" s="15"/>
      <c r="T69" s="15"/>
      <c r="U69" s="15"/>
      <c r="V69" s="24">
        <f t="shared" si="9"/>
        <v>1</v>
      </c>
    </row>
    <row r="70" ht="15.75" customHeight="1">
      <c r="A70" s="23" t="str">
        <f t="shared" si="8"/>
        <v>Seb Burgess</v>
      </c>
      <c r="B70" s="15">
        <v>1.0</v>
      </c>
      <c r="C70" s="15"/>
      <c r="D70" s="15"/>
      <c r="E70" s="15">
        <v>2.0</v>
      </c>
      <c r="F70" s="15"/>
      <c r="G70" s="15"/>
      <c r="H70" s="15"/>
      <c r="I70" s="15">
        <v>2.0</v>
      </c>
      <c r="J70" s="15"/>
      <c r="K70" s="15"/>
      <c r="L70" s="15"/>
      <c r="M70" s="15"/>
      <c r="N70" s="15"/>
      <c r="O70" s="15"/>
      <c r="P70" s="15"/>
      <c r="Q70" s="15"/>
      <c r="R70" s="15"/>
      <c r="S70" s="15"/>
      <c r="T70" s="15"/>
      <c r="U70" s="15"/>
      <c r="V70" s="24">
        <f t="shared" si="9"/>
        <v>5</v>
      </c>
    </row>
    <row r="71" ht="15.75" customHeight="1">
      <c r="A71" s="23" t="str">
        <f t="shared" si="8"/>
        <v/>
      </c>
      <c r="B71" s="15"/>
      <c r="C71" s="15"/>
      <c r="D71" s="15"/>
      <c r="E71" s="15"/>
      <c r="F71" s="15"/>
      <c r="G71" s="15"/>
      <c r="H71" s="15"/>
      <c r="I71" s="15"/>
      <c r="J71" s="15"/>
      <c r="K71" s="15"/>
      <c r="L71" s="15"/>
      <c r="M71" s="15"/>
      <c r="N71" s="15"/>
      <c r="O71" s="15"/>
      <c r="P71" s="15"/>
      <c r="Q71" s="15"/>
      <c r="R71" s="15"/>
      <c r="S71" s="15"/>
      <c r="T71" s="15"/>
      <c r="U71" s="15"/>
      <c r="V71" s="24">
        <f t="shared" si="9"/>
        <v>0</v>
      </c>
    </row>
    <row r="72" ht="15.75" customHeight="1">
      <c r="A72" s="23" t="str">
        <f t="shared" si="8"/>
        <v/>
      </c>
      <c r="B72" s="15"/>
      <c r="C72" s="15"/>
      <c r="D72" s="15"/>
      <c r="E72" s="15"/>
      <c r="F72" s="15"/>
      <c r="G72" s="15"/>
      <c r="H72" s="15"/>
      <c r="I72" s="15"/>
      <c r="J72" s="15"/>
      <c r="K72" s="15"/>
      <c r="L72" s="15"/>
      <c r="M72" s="15"/>
      <c r="N72" s="15"/>
      <c r="O72" s="15"/>
      <c r="P72" s="15"/>
      <c r="Q72" s="15"/>
      <c r="R72" s="15"/>
      <c r="S72" s="15"/>
      <c r="T72" s="15"/>
      <c r="U72" s="15"/>
      <c r="V72" s="24">
        <f t="shared" si="9"/>
        <v>0</v>
      </c>
    </row>
    <row r="73" ht="15.75" customHeight="1">
      <c r="A73" s="23" t="str">
        <f t="shared" si="8"/>
        <v/>
      </c>
      <c r="B73" s="15"/>
      <c r="C73" s="15"/>
      <c r="D73" s="15"/>
      <c r="E73" s="15"/>
      <c r="F73" s="15"/>
      <c r="G73" s="15"/>
      <c r="H73" s="15"/>
      <c r="I73" s="15"/>
      <c r="J73" s="15"/>
      <c r="K73" s="15"/>
      <c r="L73" s="15"/>
      <c r="M73" s="15"/>
      <c r="N73" s="15"/>
      <c r="O73" s="15"/>
      <c r="P73" s="15"/>
      <c r="Q73" s="15"/>
      <c r="R73" s="15"/>
      <c r="S73" s="15"/>
      <c r="T73" s="15"/>
      <c r="U73" s="15"/>
      <c r="V73" s="24">
        <f t="shared" si="9"/>
        <v>0</v>
      </c>
    </row>
    <row r="74" ht="15.75" customHeight="1">
      <c r="A74" s="23" t="str">
        <f t="shared" si="8"/>
        <v/>
      </c>
      <c r="B74" s="15"/>
      <c r="C74" s="15"/>
      <c r="D74" s="15"/>
      <c r="E74" s="15"/>
      <c r="F74" s="15"/>
      <c r="G74" s="15"/>
      <c r="H74" s="15"/>
      <c r="I74" s="15"/>
      <c r="J74" s="15"/>
      <c r="K74" s="15"/>
      <c r="L74" s="15"/>
      <c r="M74" s="15"/>
      <c r="N74" s="15"/>
      <c r="O74" s="15"/>
      <c r="P74" s="15"/>
      <c r="Q74" s="15"/>
      <c r="R74" s="15"/>
      <c r="S74" s="15"/>
      <c r="T74" s="15"/>
      <c r="U74" s="15"/>
      <c r="V74" s="24">
        <f t="shared" si="9"/>
        <v>0</v>
      </c>
    </row>
    <row r="75" ht="15.75" customHeight="1">
      <c r="A75" s="23" t="str">
        <f t="shared" si="8"/>
        <v/>
      </c>
      <c r="B75" s="15"/>
      <c r="C75" s="15"/>
      <c r="D75" s="15"/>
      <c r="E75" s="15"/>
      <c r="F75" s="15"/>
      <c r="G75" s="15"/>
      <c r="H75" s="15"/>
      <c r="I75" s="15"/>
      <c r="J75" s="15"/>
      <c r="K75" s="15"/>
      <c r="L75" s="15"/>
      <c r="M75" s="15"/>
      <c r="N75" s="15"/>
      <c r="O75" s="15"/>
      <c r="P75" s="15"/>
      <c r="Q75" s="15"/>
      <c r="R75" s="15"/>
      <c r="S75" s="15"/>
      <c r="T75" s="15"/>
      <c r="U75" s="15"/>
      <c r="V75" s="24">
        <f t="shared" si="9"/>
        <v>0</v>
      </c>
    </row>
    <row r="76" ht="15.75" customHeight="1">
      <c r="A76" s="23" t="str">
        <f t="shared" si="8"/>
        <v/>
      </c>
      <c r="B76" s="15"/>
      <c r="C76" s="15"/>
      <c r="D76" s="15"/>
      <c r="E76" s="15"/>
      <c r="F76" s="15"/>
      <c r="G76" s="15"/>
      <c r="H76" s="15"/>
      <c r="I76" s="15"/>
      <c r="J76" s="15"/>
      <c r="K76" s="15"/>
      <c r="L76" s="15"/>
      <c r="M76" s="15"/>
      <c r="N76" s="15"/>
      <c r="O76" s="15"/>
      <c r="P76" s="15"/>
      <c r="Q76" s="15"/>
      <c r="R76" s="15"/>
      <c r="S76" s="15"/>
      <c r="T76" s="15"/>
      <c r="U76" s="15"/>
      <c r="V76" s="24">
        <f t="shared" si="9"/>
        <v>0</v>
      </c>
    </row>
    <row r="77" ht="15.75" customHeight="1">
      <c r="A77" s="7" t="s">
        <v>144</v>
      </c>
      <c r="V77" s="24">
        <f>SUM(V49:V76)</f>
        <v>16</v>
      </c>
    </row>
    <row r="78" ht="15.75" customHeight="1"/>
    <row r="79" ht="15.75" customHeight="1">
      <c r="A79" s="21" t="s">
        <v>148</v>
      </c>
      <c r="B79" s="22" t="s">
        <v>41</v>
      </c>
      <c r="C79" s="22" t="s">
        <v>42</v>
      </c>
      <c r="D79" s="22" t="s">
        <v>43</v>
      </c>
      <c r="E79" s="22" t="s">
        <v>44</v>
      </c>
      <c r="F79" s="22" t="s">
        <v>45</v>
      </c>
      <c r="G79" s="22" t="s">
        <v>46</v>
      </c>
      <c r="H79" s="22" t="s">
        <v>47</v>
      </c>
      <c r="I79" s="22" t="s">
        <v>48</v>
      </c>
      <c r="J79" s="22" t="s">
        <v>49</v>
      </c>
      <c r="K79" s="22" t="s">
        <v>50</v>
      </c>
      <c r="L79" s="22" t="s">
        <v>51</v>
      </c>
      <c r="M79" s="22" t="s">
        <v>52</v>
      </c>
      <c r="N79" s="22" t="s">
        <v>53</v>
      </c>
      <c r="O79" s="22" t="s">
        <v>54</v>
      </c>
      <c r="P79" s="22" t="s">
        <v>55</v>
      </c>
      <c r="Q79" s="22" t="s">
        <v>56</v>
      </c>
      <c r="R79" s="22" t="s">
        <v>57</v>
      </c>
      <c r="S79" s="22" t="s">
        <v>58</v>
      </c>
      <c r="T79" s="22" t="s">
        <v>59</v>
      </c>
      <c r="U79" s="22" t="s">
        <v>60</v>
      </c>
      <c r="V79" s="22" t="s">
        <v>149</v>
      </c>
    </row>
    <row r="80" ht="15.75" customHeight="1">
      <c r="A80" s="23" t="str">
        <f t="shared" ref="A80:A107" si="10">IF($A18="","",$A18)</f>
        <v>Ahmed</v>
      </c>
      <c r="B80" s="15"/>
      <c r="C80" s="15"/>
      <c r="D80" s="15"/>
      <c r="E80" s="15"/>
      <c r="F80" s="15"/>
      <c r="G80" s="15"/>
      <c r="H80" s="15"/>
      <c r="I80" s="15"/>
      <c r="J80" s="15"/>
      <c r="K80" s="15"/>
      <c r="L80" s="15"/>
      <c r="M80" s="15"/>
      <c r="N80" s="15"/>
      <c r="O80" s="15"/>
      <c r="P80" s="15"/>
      <c r="Q80" s="15"/>
      <c r="R80" s="15"/>
      <c r="S80" s="15"/>
      <c r="T80" s="15"/>
      <c r="U80" s="15"/>
      <c r="V80" s="24">
        <f t="shared" ref="V80:V107" si="11">SUMPRODUCT(B80:U80*($B$16:$U$16=""))</f>
        <v>0</v>
      </c>
    </row>
    <row r="81" ht="15.75" customHeight="1">
      <c r="A81" s="23" t="str">
        <f t="shared" si="10"/>
        <v>Alex Ruben</v>
      </c>
      <c r="B81" s="15"/>
      <c r="C81" s="15"/>
      <c r="D81" s="15"/>
      <c r="E81" s="15"/>
      <c r="F81" s="15"/>
      <c r="G81" s="15"/>
      <c r="H81" s="15"/>
      <c r="I81" s="15"/>
      <c r="J81" s="15"/>
      <c r="K81" s="15"/>
      <c r="L81" s="15"/>
      <c r="M81" s="15"/>
      <c r="N81" s="15"/>
      <c r="O81" s="15"/>
      <c r="P81" s="15"/>
      <c r="Q81" s="15"/>
      <c r="R81" s="15"/>
      <c r="S81" s="15"/>
      <c r="T81" s="15"/>
      <c r="U81" s="15"/>
      <c r="V81" s="24">
        <f t="shared" si="11"/>
        <v>0</v>
      </c>
    </row>
    <row r="82" ht="15.75" customHeight="1">
      <c r="A82" s="23" t="str">
        <f t="shared" si="10"/>
        <v>Andy Cowan</v>
      </c>
      <c r="B82" s="15">
        <v>1.0</v>
      </c>
      <c r="C82" s="15"/>
      <c r="D82" s="15"/>
      <c r="E82" s="15"/>
      <c r="F82" s="15"/>
      <c r="G82" s="15"/>
      <c r="H82" s="15"/>
      <c r="I82" s="15"/>
      <c r="J82" s="15"/>
      <c r="K82" s="15"/>
      <c r="L82" s="15"/>
      <c r="M82" s="15"/>
      <c r="N82" s="15"/>
      <c r="O82" s="15"/>
      <c r="P82" s="15"/>
      <c r="Q82" s="15"/>
      <c r="R82" s="15"/>
      <c r="S82" s="15"/>
      <c r="T82" s="15"/>
      <c r="U82" s="15"/>
      <c r="V82" s="24">
        <f t="shared" si="11"/>
        <v>1</v>
      </c>
    </row>
    <row r="83" ht="15.75" customHeight="1">
      <c r="A83" s="23" t="str">
        <f t="shared" si="10"/>
        <v>Ben Merrett</v>
      </c>
      <c r="B83" s="15"/>
      <c r="C83" s="15"/>
      <c r="D83" s="15"/>
      <c r="E83" s="15"/>
      <c r="F83" s="15"/>
      <c r="G83" s="15"/>
      <c r="H83" s="15"/>
      <c r="I83" s="15"/>
      <c r="J83" s="15"/>
      <c r="K83" s="15"/>
      <c r="L83" s="15"/>
      <c r="M83" s="15"/>
      <c r="N83" s="15"/>
      <c r="O83" s="15"/>
      <c r="P83" s="15"/>
      <c r="Q83" s="15"/>
      <c r="R83" s="15"/>
      <c r="S83" s="15"/>
      <c r="T83" s="15"/>
      <c r="U83" s="15"/>
      <c r="V83" s="24">
        <f t="shared" si="11"/>
        <v>0</v>
      </c>
    </row>
    <row r="84" ht="15.75" customHeight="1">
      <c r="A84" s="23" t="str">
        <f t="shared" si="10"/>
        <v>Callum McCarthy</v>
      </c>
      <c r="B84" s="15"/>
      <c r="C84" s="15"/>
      <c r="D84" s="15"/>
      <c r="E84" s="15"/>
      <c r="F84" s="15"/>
      <c r="G84" s="15"/>
      <c r="H84" s="15"/>
      <c r="I84" s="15"/>
      <c r="J84" s="15"/>
      <c r="K84" s="15"/>
      <c r="L84" s="15"/>
      <c r="M84" s="15"/>
      <c r="N84" s="15"/>
      <c r="O84" s="15"/>
      <c r="P84" s="15"/>
      <c r="Q84" s="15"/>
      <c r="R84" s="15"/>
      <c r="S84" s="15"/>
      <c r="T84" s="15"/>
      <c r="U84" s="15"/>
      <c r="V84" s="24">
        <f t="shared" si="11"/>
        <v>0</v>
      </c>
    </row>
    <row r="85" ht="15.75" customHeight="1">
      <c r="A85" s="23" t="str">
        <f t="shared" si="10"/>
        <v>Cecil Watson</v>
      </c>
      <c r="B85" s="15"/>
      <c r="C85" s="15"/>
      <c r="D85" s="15"/>
      <c r="E85" s="15"/>
      <c r="F85" s="15"/>
      <c r="G85" s="15"/>
      <c r="H85" s="15"/>
      <c r="I85" s="15"/>
      <c r="J85" s="15"/>
      <c r="K85" s="15"/>
      <c r="L85" s="15"/>
      <c r="M85" s="15"/>
      <c r="N85" s="15"/>
      <c r="O85" s="15"/>
      <c r="P85" s="15"/>
      <c r="Q85" s="15"/>
      <c r="R85" s="15"/>
      <c r="S85" s="15"/>
      <c r="T85" s="15"/>
      <c r="U85" s="15"/>
      <c r="V85" s="24">
        <f t="shared" si="11"/>
        <v>0</v>
      </c>
    </row>
    <row r="86" ht="15.75" customHeight="1">
      <c r="A86" s="23" t="str">
        <f t="shared" si="10"/>
        <v>Conall Templeman</v>
      </c>
      <c r="B86" s="15"/>
      <c r="C86" s="15"/>
      <c r="D86" s="15"/>
      <c r="E86" s="15"/>
      <c r="F86" s="15"/>
      <c r="G86" s="15"/>
      <c r="H86" s="15"/>
      <c r="I86" s="15"/>
      <c r="J86" s="15"/>
      <c r="K86" s="15"/>
      <c r="L86" s="15"/>
      <c r="M86" s="15"/>
      <c r="N86" s="15"/>
      <c r="O86" s="15"/>
      <c r="P86" s="15"/>
      <c r="Q86" s="15"/>
      <c r="R86" s="15"/>
      <c r="S86" s="15"/>
      <c r="T86" s="15"/>
      <c r="U86" s="15"/>
      <c r="V86" s="24">
        <f t="shared" si="11"/>
        <v>0</v>
      </c>
    </row>
    <row r="87" ht="15.75" customHeight="1">
      <c r="A87" s="23" t="str">
        <f t="shared" si="10"/>
        <v>Eddie Ringer</v>
      </c>
      <c r="B87" s="15"/>
      <c r="C87" s="15"/>
      <c r="D87" s="15"/>
      <c r="E87" s="15"/>
      <c r="F87" s="15"/>
      <c r="G87" s="15"/>
      <c r="H87" s="15"/>
      <c r="I87" s="15"/>
      <c r="J87" s="15"/>
      <c r="K87" s="15"/>
      <c r="L87" s="15"/>
      <c r="M87" s="15"/>
      <c r="N87" s="15"/>
      <c r="O87" s="15"/>
      <c r="P87" s="15"/>
      <c r="Q87" s="15"/>
      <c r="R87" s="15"/>
      <c r="S87" s="15"/>
      <c r="T87" s="15"/>
      <c r="U87" s="15"/>
      <c r="V87" s="24">
        <f t="shared" si="11"/>
        <v>0</v>
      </c>
    </row>
    <row r="88" ht="15.75" customHeight="1">
      <c r="A88" s="23" t="str">
        <f t="shared" si="10"/>
        <v>Finn Cawley</v>
      </c>
      <c r="B88" s="15"/>
      <c r="C88" s="15"/>
      <c r="D88" s="15"/>
      <c r="E88" s="15"/>
      <c r="F88" s="15"/>
      <c r="G88" s="15"/>
      <c r="H88" s="15"/>
      <c r="I88" s="15"/>
      <c r="J88" s="15"/>
      <c r="K88" s="15"/>
      <c r="L88" s="15"/>
      <c r="M88" s="15"/>
      <c r="N88" s="15"/>
      <c r="O88" s="15"/>
      <c r="P88" s="15"/>
      <c r="Q88" s="15"/>
      <c r="R88" s="15"/>
      <c r="S88" s="15"/>
      <c r="T88" s="15"/>
      <c r="U88" s="15"/>
      <c r="V88" s="24">
        <f t="shared" si="11"/>
        <v>0</v>
      </c>
    </row>
    <row r="89" ht="15.75" customHeight="1">
      <c r="A89" s="23" t="str">
        <f t="shared" si="10"/>
        <v>George Barbantan</v>
      </c>
      <c r="B89" s="15"/>
      <c r="C89" s="15"/>
      <c r="D89" s="15"/>
      <c r="E89" s="15"/>
      <c r="F89" s="15"/>
      <c r="G89" s="15"/>
      <c r="H89" s="15"/>
      <c r="I89" s="15"/>
      <c r="J89" s="15"/>
      <c r="K89" s="15"/>
      <c r="L89" s="15"/>
      <c r="M89" s="15"/>
      <c r="N89" s="15"/>
      <c r="O89" s="15"/>
      <c r="P89" s="15"/>
      <c r="Q89" s="15"/>
      <c r="R89" s="15"/>
      <c r="S89" s="15"/>
      <c r="T89" s="15"/>
      <c r="U89" s="15"/>
      <c r="V89" s="24">
        <f t="shared" si="11"/>
        <v>0</v>
      </c>
    </row>
    <row r="90" ht="15.75" customHeight="1">
      <c r="A90" s="23" t="str">
        <f t="shared" si="10"/>
        <v>Henry Linklater</v>
      </c>
      <c r="B90" s="15"/>
      <c r="C90" s="15"/>
      <c r="D90" s="15"/>
      <c r="E90" s="15"/>
      <c r="F90" s="15"/>
      <c r="G90" s="15"/>
      <c r="H90" s="15"/>
      <c r="I90" s="15"/>
      <c r="J90" s="15"/>
      <c r="K90" s="15"/>
      <c r="L90" s="15"/>
      <c r="M90" s="15"/>
      <c r="N90" s="15"/>
      <c r="O90" s="15"/>
      <c r="P90" s="15"/>
      <c r="Q90" s="15"/>
      <c r="R90" s="15"/>
      <c r="S90" s="15"/>
      <c r="T90" s="15"/>
      <c r="U90" s="15"/>
      <c r="V90" s="24">
        <f t="shared" si="11"/>
        <v>0</v>
      </c>
    </row>
    <row r="91" ht="15.75" customHeight="1">
      <c r="A91" s="23" t="str">
        <f t="shared" si="10"/>
        <v>Isaac Mond</v>
      </c>
      <c r="B91" s="15"/>
      <c r="C91" s="15"/>
      <c r="D91" s="15"/>
      <c r="E91" s="15"/>
      <c r="F91" s="15"/>
      <c r="G91" s="15"/>
      <c r="H91" s="15"/>
      <c r="I91" s="15"/>
      <c r="J91" s="15"/>
      <c r="K91" s="15"/>
      <c r="L91" s="15"/>
      <c r="M91" s="15"/>
      <c r="N91" s="15"/>
      <c r="O91" s="15"/>
      <c r="P91" s="15"/>
      <c r="Q91" s="15"/>
      <c r="R91" s="15"/>
      <c r="S91" s="15"/>
      <c r="T91" s="15"/>
      <c r="U91" s="15"/>
      <c r="V91" s="24">
        <f t="shared" si="11"/>
        <v>0</v>
      </c>
    </row>
    <row r="92" ht="15.75" customHeight="1">
      <c r="A92" s="23" t="str">
        <f t="shared" si="10"/>
        <v>Jake Harrison</v>
      </c>
      <c r="B92" s="15"/>
      <c r="C92" s="15"/>
      <c r="D92" s="15"/>
      <c r="E92" s="15"/>
      <c r="F92" s="15"/>
      <c r="G92" s="15"/>
      <c r="H92" s="15"/>
      <c r="I92" s="15"/>
      <c r="J92" s="15"/>
      <c r="K92" s="15"/>
      <c r="L92" s="15"/>
      <c r="M92" s="15"/>
      <c r="N92" s="15"/>
      <c r="O92" s="15"/>
      <c r="P92" s="15"/>
      <c r="Q92" s="15"/>
      <c r="R92" s="15"/>
      <c r="S92" s="15"/>
      <c r="T92" s="15"/>
      <c r="U92" s="15"/>
      <c r="V92" s="24">
        <f t="shared" si="11"/>
        <v>0</v>
      </c>
    </row>
    <row r="93" ht="15.75" customHeight="1">
      <c r="A93" s="23" t="str">
        <f t="shared" si="10"/>
        <v>Jake Ringer</v>
      </c>
      <c r="B93" s="15"/>
      <c r="C93" s="15"/>
      <c r="D93" s="15"/>
      <c r="E93" s="15"/>
      <c r="F93" s="15"/>
      <c r="G93" s="15"/>
      <c r="H93" s="15"/>
      <c r="I93" s="15"/>
      <c r="J93" s="15"/>
      <c r="K93" s="15"/>
      <c r="L93" s="15"/>
      <c r="M93" s="15"/>
      <c r="N93" s="15"/>
      <c r="O93" s="15"/>
      <c r="P93" s="15"/>
      <c r="Q93" s="15"/>
      <c r="R93" s="15"/>
      <c r="S93" s="15"/>
      <c r="T93" s="15"/>
      <c r="U93" s="15"/>
      <c r="V93" s="24">
        <f t="shared" si="11"/>
        <v>0</v>
      </c>
    </row>
    <row r="94" ht="15.75" customHeight="1">
      <c r="A94" s="23" t="str">
        <f t="shared" si="10"/>
        <v>Keshav Singh</v>
      </c>
      <c r="B94" s="15"/>
      <c r="C94" s="15"/>
      <c r="D94" s="15"/>
      <c r="E94" s="15"/>
      <c r="F94" s="15"/>
      <c r="G94" s="15"/>
      <c r="H94" s="15"/>
      <c r="I94" s="15"/>
      <c r="J94" s="15"/>
      <c r="K94" s="15"/>
      <c r="L94" s="15"/>
      <c r="M94" s="15"/>
      <c r="N94" s="15"/>
      <c r="O94" s="15"/>
      <c r="P94" s="15"/>
      <c r="Q94" s="15"/>
      <c r="R94" s="15"/>
      <c r="S94" s="15"/>
      <c r="T94" s="15"/>
      <c r="U94" s="15"/>
      <c r="V94" s="24">
        <f t="shared" si="11"/>
        <v>0</v>
      </c>
    </row>
    <row r="95" ht="15.75" customHeight="1">
      <c r="A95" s="23" t="str">
        <f t="shared" si="10"/>
        <v>Mark Pellowe</v>
      </c>
      <c r="B95" s="15"/>
      <c r="C95" s="15"/>
      <c r="D95" s="15"/>
      <c r="E95" s="15"/>
      <c r="F95" s="15"/>
      <c r="G95" s="15"/>
      <c r="H95" s="15"/>
      <c r="I95" s="15"/>
      <c r="J95" s="15"/>
      <c r="K95" s="15"/>
      <c r="L95" s="15"/>
      <c r="M95" s="15"/>
      <c r="N95" s="15"/>
      <c r="O95" s="15"/>
      <c r="P95" s="15"/>
      <c r="Q95" s="15"/>
      <c r="R95" s="15"/>
      <c r="S95" s="15"/>
      <c r="T95" s="15"/>
      <c r="U95" s="15"/>
      <c r="V95" s="24">
        <f t="shared" si="11"/>
        <v>0</v>
      </c>
    </row>
    <row r="96" ht="15.75" customHeight="1">
      <c r="A96" s="23" t="str">
        <f t="shared" si="10"/>
        <v>Max Cobain</v>
      </c>
      <c r="B96" s="15"/>
      <c r="C96" s="15"/>
      <c r="D96" s="15"/>
      <c r="E96" s="15"/>
      <c r="F96" s="15"/>
      <c r="G96" s="15"/>
      <c r="H96" s="15"/>
      <c r="I96" s="15"/>
      <c r="J96" s="15"/>
      <c r="K96" s="15"/>
      <c r="L96" s="15"/>
      <c r="M96" s="15"/>
      <c r="N96" s="15"/>
      <c r="O96" s="15"/>
      <c r="P96" s="15"/>
      <c r="Q96" s="15"/>
      <c r="R96" s="15"/>
      <c r="S96" s="15"/>
      <c r="T96" s="15"/>
      <c r="U96" s="15"/>
      <c r="V96" s="24">
        <f t="shared" si="11"/>
        <v>0</v>
      </c>
    </row>
    <row r="97" ht="15.75" customHeight="1">
      <c r="A97" s="23" t="str">
        <f t="shared" si="10"/>
        <v>Neeraj Radia</v>
      </c>
      <c r="B97" s="15"/>
      <c r="C97" s="15"/>
      <c r="D97" s="15"/>
      <c r="E97" s="15"/>
      <c r="F97" s="15"/>
      <c r="G97" s="15"/>
      <c r="H97" s="15"/>
      <c r="I97" s="15"/>
      <c r="J97" s="15"/>
      <c r="K97" s="15"/>
      <c r="L97" s="15"/>
      <c r="M97" s="15"/>
      <c r="N97" s="15"/>
      <c r="O97" s="15"/>
      <c r="P97" s="15"/>
      <c r="Q97" s="15"/>
      <c r="R97" s="15"/>
      <c r="S97" s="15"/>
      <c r="T97" s="15"/>
      <c r="U97" s="15"/>
      <c r="V97" s="24">
        <f t="shared" si="11"/>
        <v>0</v>
      </c>
    </row>
    <row r="98" ht="15.75" customHeight="1">
      <c r="A98" s="23" t="str">
        <f t="shared" si="10"/>
        <v>Phil Knott</v>
      </c>
      <c r="B98" s="15">
        <v>1.0</v>
      </c>
      <c r="C98" s="15"/>
      <c r="D98" s="15">
        <v>1.0</v>
      </c>
      <c r="E98" s="15"/>
      <c r="F98" s="15"/>
      <c r="G98" s="15"/>
      <c r="H98" s="15"/>
      <c r="I98" s="15"/>
      <c r="J98" s="15"/>
      <c r="K98" s="15"/>
      <c r="L98" s="15"/>
      <c r="M98" s="15"/>
      <c r="N98" s="15"/>
      <c r="O98" s="15"/>
      <c r="P98" s="15"/>
      <c r="Q98" s="15"/>
      <c r="R98" s="15"/>
      <c r="S98" s="15"/>
      <c r="T98" s="15"/>
      <c r="U98" s="15"/>
      <c r="V98" s="24">
        <f t="shared" si="11"/>
        <v>2</v>
      </c>
    </row>
    <row r="99" ht="15.75" customHeight="1">
      <c r="A99" s="23" t="str">
        <f t="shared" si="10"/>
        <v>Robin</v>
      </c>
      <c r="B99" s="15"/>
      <c r="C99" s="15"/>
      <c r="D99" s="15"/>
      <c r="E99" s="15"/>
      <c r="F99" s="15"/>
      <c r="G99" s="15"/>
      <c r="H99" s="15"/>
      <c r="I99" s="15"/>
      <c r="J99" s="15"/>
      <c r="K99" s="15"/>
      <c r="L99" s="15"/>
      <c r="M99" s="15"/>
      <c r="N99" s="15"/>
      <c r="O99" s="15"/>
      <c r="P99" s="15"/>
      <c r="Q99" s="15"/>
      <c r="R99" s="15"/>
      <c r="S99" s="15"/>
      <c r="T99" s="15"/>
      <c r="U99" s="15"/>
      <c r="V99" s="24">
        <f t="shared" si="11"/>
        <v>0</v>
      </c>
    </row>
    <row r="100" ht="15.75" customHeight="1">
      <c r="A100" s="23" t="str">
        <f t="shared" si="10"/>
        <v>Sam Holt</v>
      </c>
      <c r="B100" s="15"/>
      <c r="C100" s="15"/>
      <c r="D100" s="15"/>
      <c r="E100" s="15"/>
      <c r="F100" s="15"/>
      <c r="G100" s="15"/>
      <c r="H100" s="15"/>
      <c r="I100" s="15"/>
      <c r="J100" s="15"/>
      <c r="K100" s="15"/>
      <c r="L100" s="15"/>
      <c r="M100" s="15"/>
      <c r="N100" s="15"/>
      <c r="O100" s="15"/>
      <c r="P100" s="15"/>
      <c r="Q100" s="15"/>
      <c r="R100" s="15"/>
      <c r="S100" s="15"/>
      <c r="T100" s="15"/>
      <c r="U100" s="15"/>
      <c r="V100" s="24">
        <f t="shared" si="11"/>
        <v>0</v>
      </c>
    </row>
    <row r="101" ht="15.75" customHeight="1">
      <c r="A101" s="23" t="str">
        <f t="shared" si="10"/>
        <v>Seb Burgess</v>
      </c>
      <c r="B101" s="15"/>
      <c r="C101" s="15"/>
      <c r="D101" s="15"/>
      <c r="E101" s="15"/>
      <c r="F101" s="15"/>
      <c r="G101" s="15"/>
      <c r="H101" s="15"/>
      <c r="I101" s="15"/>
      <c r="J101" s="15"/>
      <c r="K101" s="15"/>
      <c r="L101" s="15"/>
      <c r="M101" s="15"/>
      <c r="N101" s="15"/>
      <c r="O101" s="15"/>
      <c r="P101" s="15"/>
      <c r="Q101" s="15"/>
      <c r="R101" s="15"/>
      <c r="S101" s="15"/>
      <c r="T101" s="15"/>
      <c r="U101" s="15"/>
      <c r="V101" s="24">
        <f t="shared" si="11"/>
        <v>0</v>
      </c>
    </row>
    <row r="102" ht="15.75" customHeight="1">
      <c r="A102" s="23" t="str">
        <f t="shared" si="10"/>
        <v/>
      </c>
      <c r="B102" s="15"/>
      <c r="C102" s="15"/>
      <c r="D102" s="15"/>
      <c r="E102" s="15"/>
      <c r="F102" s="15"/>
      <c r="G102" s="15"/>
      <c r="H102" s="15"/>
      <c r="I102" s="15"/>
      <c r="J102" s="15"/>
      <c r="K102" s="15"/>
      <c r="L102" s="15"/>
      <c r="M102" s="15"/>
      <c r="N102" s="15"/>
      <c r="O102" s="15"/>
      <c r="P102" s="15"/>
      <c r="Q102" s="15"/>
      <c r="R102" s="15"/>
      <c r="S102" s="15"/>
      <c r="T102" s="15"/>
      <c r="U102" s="15"/>
      <c r="V102" s="24">
        <f t="shared" si="11"/>
        <v>0</v>
      </c>
    </row>
    <row r="103" ht="15.75" customHeight="1">
      <c r="A103" s="23" t="str">
        <f t="shared" si="10"/>
        <v/>
      </c>
      <c r="B103" s="15"/>
      <c r="C103" s="15"/>
      <c r="D103" s="15"/>
      <c r="E103" s="15"/>
      <c r="F103" s="15"/>
      <c r="G103" s="15"/>
      <c r="H103" s="15"/>
      <c r="I103" s="15"/>
      <c r="J103" s="15"/>
      <c r="K103" s="15"/>
      <c r="L103" s="15"/>
      <c r="M103" s="15"/>
      <c r="N103" s="15"/>
      <c r="O103" s="15"/>
      <c r="P103" s="15"/>
      <c r="Q103" s="15"/>
      <c r="R103" s="15"/>
      <c r="S103" s="15"/>
      <c r="T103" s="15"/>
      <c r="U103" s="15"/>
      <c r="V103" s="24">
        <f t="shared" si="11"/>
        <v>0</v>
      </c>
    </row>
    <row r="104" ht="15.75" customHeight="1">
      <c r="A104" s="23" t="str">
        <f t="shared" si="10"/>
        <v/>
      </c>
      <c r="B104" s="15"/>
      <c r="C104" s="15"/>
      <c r="D104" s="15"/>
      <c r="E104" s="15"/>
      <c r="F104" s="15"/>
      <c r="G104" s="15"/>
      <c r="H104" s="15"/>
      <c r="I104" s="15"/>
      <c r="J104" s="15"/>
      <c r="K104" s="15"/>
      <c r="L104" s="15"/>
      <c r="M104" s="15"/>
      <c r="N104" s="15"/>
      <c r="O104" s="15"/>
      <c r="P104" s="15"/>
      <c r="Q104" s="15"/>
      <c r="R104" s="15"/>
      <c r="S104" s="15"/>
      <c r="T104" s="15"/>
      <c r="U104" s="15"/>
      <c r="V104" s="24">
        <f t="shared" si="11"/>
        <v>0</v>
      </c>
    </row>
    <row r="105" ht="15.75" customHeight="1">
      <c r="A105" s="23" t="str">
        <f t="shared" si="10"/>
        <v/>
      </c>
      <c r="B105" s="15"/>
      <c r="C105" s="15"/>
      <c r="D105" s="15"/>
      <c r="E105" s="15"/>
      <c r="F105" s="15"/>
      <c r="G105" s="15"/>
      <c r="H105" s="15"/>
      <c r="I105" s="15"/>
      <c r="J105" s="15"/>
      <c r="K105" s="15"/>
      <c r="L105" s="15"/>
      <c r="M105" s="15"/>
      <c r="N105" s="15"/>
      <c r="O105" s="15"/>
      <c r="P105" s="15"/>
      <c r="Q105" s="15"/>
      <c r="R105" s="15"/>
      <c r="S105" s="15"/>
      <c r="T105" s="15"/>
      <c r="U105" s="15"/>
      <c r="V105" s="24">
        <f t="shared" si="11"/>
        <v>0</v>
      </c>
    </row>
    <row r="106" ht="15.75" customHeight="1">
      <c r="A106" s="23" t="str">
        <f t="shared" si="10"/>
        <v/>
      </c>
      <c r="B106" s="15"/>
      <c r="C106" s="15"/>
      <c r="D106" s="15"/>
      <c r="E106" s="15"/>
      <c r="F106" s="15"/>
      <c r="G106" s="15"/>
      <c r="H106" s="15"/>
      <c r="I106" s="15"/>
      <c r="J106" s="15"/>
      <c r="K106" s="15"/>
      <c r="L106" s="15"/>
      <c r="M106" s="15"/>
      <c r="N106" s="15"/>
      <c r="O106" s="15"/>
      <c r="P106" s="15"/>
      <c r="Q106" s="15"/>
      <c r="R106" s="15"/>
      <c r="S106" s="15"/>
      <c r="T106" s="15"/>
      <c r="U106" s="15"/>
      <c r="V106" s="24">
        <f t="shared" si="11"/>
        <v>0</v>
      </c>
    </row>
    <row r="107" ht="15.75" customHeight="1">
      <c r="A107" s="23" t="str">
        <f t="shared" si="10"/>
        <v/>
      </c>
      <c r="B107" s="15"/>
      <c r="C107" s="15"/>
      <c r="D107" s="15"/>
      <c r="E107" s="15"/>
      <c r="F107" s="15"/>
      <c r="G107" s="15"/>
      <c r="H107" s="15"/>
      <c r="I107" s="15"/>
      <c r="J107" s="15"/>
      <c r="K107" s="15"/>
      <c r="L107" s="15"/>
      <c r="M107" s="15"/>
      <c r="N107" s="15"/>
      <c r="O107" s="15"/>
      <c r="P107" s="15"/>
      <c r="Q107" s="15"/>
      <c r="R107" s="15"/>
      <c r="S107" s="15"/>
      <c r="T107" s="15"/>
      <c r="U107" s="15"/>
      <c r="V107" s="24">
        <f t="shared" si="11"/>
        <v>0</v>
      </c>
    </row>
    <row r="108" ht="15.75" customHeight="1">
      <c r="A108" s="7" t="s">
        <v>144</v>
      </c>
      <c r="V108" s="24">
        <f>SUM(V80:V107)</f>
        <v>3</v>
      </c>
    </row>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6.0"/>
    <col customWidth="1" min="2" max="25" width="12.0"/>
    <col customWidth="1" min="26" max="26" width="8.71"/>
  </cols>
  <sheetData>
    <row r="1">
      <c r="A1" s="4" t="s">
        <v>34</v>
      </c>
      <c r="B1" s="5"/>
      <c r="C1" s="5"/>
      <c r="D1" s="5"/>
      <c r="E1" s="5"/>
      <c r="F1" s="5"/>
      <c r="G1" s="5"/>
      <c r="H1" s="5"/>
      <c r="I1" s="5"/>
      <c r="J1" s="5"/>
      <c r="K1" s="5"/>
      <c r="L1" s="5"/>
      <c r="M1" s="5"/>
      <c r="N1" s="5"/>
      <c r="O1" s="5"/>
      <c r="P1" s="5"/>
      <c r="Q1" s="5"/>
      <c r="R1" s="5"/>
      <c r="S1" s="5"/>
      <c r="T1" s="5"/>
      <c r="U1" s="5"/>
      <c r="V1" s="5"/>
      <c r="W1" s="5"/>
      <c r="X1" s="5"/>
      <c r="Y1" s="5"/>
    </row>
    <row r="2">
      <c r="A2" s="6" t="s">
        <v>40</v>
      </c>
      <c r="B2" s="6" t="s">
        <v>41</v>
      </c>
      <c r="C2" s="6" t="s">
        <v>42</v>
      </c>
      <c r="D2" s="6" t="s">
        <v>43</v>
      </c>
      <c r="E2" s="6" t="s">
        <v>44</v>
      </c>
      <c r="F2" s="6" t="s">
        <v>45</v>
      </c>
      <c r="G2" s="6" t="s">
        <v>46</v>
      </c>
      <c r="H2" s="6" t="s">
        <v>47</v>
      </c>
      <c r="I2" s="6" t="s">
        <v>48</v>
      </c>
      <c r="J2" s="6" t="s">
        <v>49</v>
      </c>
      <c r="K2" s="6" t="s">
        <v>50</v>
      </c>
      <c r="L2" s="6" t="s">
        <v>51</v>
      </c>
      <c r="M2" s="6" t="s">
        <v>52</v>
      </c>
      <c r="N2" s="6" t="s">
        <v>53</v>
      </c>
      <c r="O2" s="6" t="s">
        <v>54</v>
      </c>
      <c r="P2" s="6" t="s">
        <v>55</v>
      </c>
      <c r="Q2" s="6" t="s">
        <v>56</v>
      </c>
      <c r="R2" s="6" t="s">
        <v>57</v>
      </c>
      <c r="S2" s="6" t="s">
        <v>58</v>
      </c>
      <c r="T2" s="6" t="s">
        <v>59</v>
      </c>
      <c r="U2" s="6" t="s">
        <v>60</v>
      </c>
      <c r="X2" s="7" t="s">
        <v>61</v>
      </c>
    </row>
    <row r="3">
      <c r="A3" s="8" t="s">
        <v>62</v>
      </c>
      <c r="B3" s="9">
        <v>45742.0</v>
      </c>
      <c r="C3" s="9">
        <v>45743.0</v>
      </c>
      <c r="D3" s="9">
        <v>45750.0</v>
      </c>
      <c r="E3" s="9">
        <v>45757.0</v>
      </c>
      <c r="F3" s="9">
        <v>45764.0</v>
      </c>
      <c r="G3" s="9">
        <v>45771.0</v>
      </c>
      <c r="H3" s="9">
        <v>45778.0</v>
      </c>
      <c r="I3" s="9">
        <v>45785.0</v>
      </c>
      <c r="J3" s="9">
        <v>45792.0</v>
      </c>
      <c r="K3" s="9">
        <v>45799.0</v>
      </c>
      <c r="L3" s="9">
        <v>45806.0</v>
      </c>
      <c r="M3" s="9">
        <v>45813.0</v>
      </c>
      <c r="N3" s="9">
        <v>45820.0</v>
      </c>
      <c r="O3" s="9">
        <v>45827.0</v>
      </c>
      <c r="P3" s="9"/>
      <c r="Q3" s="9"/>
      <c r="R3" s="9"/>
      <c r="S3" s="9"/>
      <c r="T3" s="9"/>
      <c r="U3" s="9"/>
      <c r="X3" s="7" t="s">
        <v>63</v>
      </c>
      <c r="Y3" s="10">
        <f>Y4+Y5+Y6</f>
        <v>13</v>
      </c>
    </row>
    <row r="4">
      <c r="A4" s="8" t="s">
        <v>64</v>
      </c>
      <c r="B4" s="11"/>
      <c r="C4" s="11"/>
      <c r="D4" s="11"/>
      <c r="E4" s="11"/>
      <c r="F4" s="11"/>
      <c r="G4" s="11"/>
      <c r="H4" s="11"/>
      <c r="I4" s="11"/>
      <c r="J4" s="11"/>
      <c r="K4" s="11"/>
      <c r="L4" s="11"/>
      <c r="M4" s="11"/>
      <c r="N4" s="11"/>
      <c r="O4" s="11"/>
      <c r="P4" s="11"/>
      <c r="Q4" s="11"/>
      <c r="R4" s="11"/>
      <c r="S4" s="11"/>
      <c r="T4" s="11"/>
      <c r="U4" s="11"/>
      <c r="X4" s="7" t="s">
        <v>65</v>
      </c>
      <c r="Y4" s="10">
        <f>SUMPRODUCT(($B$9:$U$9="W")*($B$16:$U$16=""))</f>
        <v>1</v>
      </c>
    </row>
    <row r="5" ht="27.75" customHeight="1">
      <c r="A5" s="8" t="s">
        <v>66</v>
      </c>
      <c r="B5" s="12" t="s">
        <v>84</v>
      </c>
      <c r="C5" s="12" t="s">
        <v>85</v>
      </c>
      <c r="D5" s="12" t="s">
        <v>86</v>
      </c>
      <c r="E5" s="12" t="s">
        <v>87</v>
      </c>
      <c r="F5" s="12" t="s">
        <v>88</v>
      </c>
      <c r="G5" s="12" t="s">
        <v>89</v>
      </c>
      <c r="H5" s="12" t="s">
        <v>90</v>
      </c>
      <c r="I5" s="12" t="s">
        <v>91</v>
      </c>
      <c r="J5" s="12" t="s">
        <v>88</v>
      </c>
      <c r="K5" s="12" t="s">
        <v>89</v>
      </c>
      <c r="L5" s="12" t="s">
        <v>92</v>
      </c>
      <c r="M5" s="12" t="s">
        <v>90</v>
      </c>
      <c r="N5" s="12" t="s">
        <v>86</v>
      </c>
      <c r="O5" s="12" t="s">
        <v>85</v>
      </c>
      <c r="P5" s="12"/>
      <c r="Q5" s="12"/>
      <c r="R5" s="12"/>
      <c r="S5" s="12"/>
      <c r="T5" s="12"/>
      <c r="U5" s="12"/>
      <c r="X5" s="7" t="s">
        <v>75</v>
      </c>
      <c r="Y5" s="10">
        <f>SUMPRODUCT(($B$9:$U$9="D")*($B$16:$U$16=""))</f>
        <v>1</v>
      </c>
    </row>
    <row r="6">
      <c r="A6" s="8" t="s">
        <v>79</v>
      </c>
      <c r="B6" s="13">
        <v>8.0</v>
      </c>
      <c r="C6" s="13">
        <v>2.0</v>
      </c>
      <c r="D6" s="13">
        <v>1.0</v>
      </c>
      <c r="E6" s="13">
        <v>2.0</v>
      </c>
      <c r="F6" s="13">
        <v>4.0</v>
      </c>
      <c r="G6" s="13">
        <v>2.0</v>
      </c>
      <c r="H6" s="13">
        <v>1.0</v>
      </c>
      <c r="I6" s="13">
        <v>10.0</v>
      </c>
      <c r="J6" s="13">
        <v>3.0</v>
      </c>
      <c r="K6" s="13">
        <v>3.0</v>
      </c>
      <c r="L6" s="13">
        <v>1.0</v>
      </c>
      <c r="M6" s="13">
        <v>2.0</v>
      </c>
      <c r="N6" s="13">
        <v>3.0</v>
      </c>
      <c r="O6" s="13">
        <v>1.0</v>
      </c>
      <c r="P6" s="13"/>
      <c r="Q6" s="13"/>
      <c r="R6" s="13"/>
      <c r="S6" s="13"/>
      <c r="T6" s="13"/>
      <c r="U6" s="13"/>
      <c r="X6" s="7" t="s">
        <v>80</v>
      </c>
      <c r="Y6" s="10">
        <f>SUMPRODUCT(($B$9:$U$9="L")*($B$16:$U$16=""))</f>
        <v>11</v>
      </c>
    </row>
    <row r="7">
      <c r="A7" s="8" t="s">
        <v>81</v>
      </c>
      <c r="B7" s="13">
        <v>0.0</v>
      </c>
      <c r="C7" s="13">
        <v>11.0</v>
      </c>
      <c r="D7" s="13">
        <v>7.0</v>
      </c>
      <c r="E7" s="13">
        <v>6.0</v>
      </c>
      <c r="F7" s="13">
        <v>8.0</v>
      </c>
      <c r="G7" s="13">
        <v>5.0</v>
      </c>
      <c r="H7" s="13">
        <v>4.0</v>
      </c>
      <c r="I7" s="13">
        <v>0.0</v>
      </c>
      <c r="J7" s="13">
        <v>9.0</v>
      </c>
      <c r="K7" s="13">
        <v>13.0</v>
      </c>
      <c r="L7" s="13">
        <v>6.0</v>
      </c>
      <c r="M7" s="13">
        <v>13.0</v>
      </c>
      <c r="N7" s="13">
        <v>3.0</v>
      </c>
      <c r="O7" s="13">
        <v>12.0</v>
      </c>
      <c r="P7" s="13"/>
      <c r="Q7" s="13"/>
      <c r="R7" s="13"/>
      <c r="S7" s="13"/>
      <c r="T7" s="13"/>
      <c r="U7" s="13"/>
      <c r="X7" s="7" t="s">
        <v>82</v>
      </c>
      <c r="Y7" s="10">
        <f>SUMPRODUCT($B$6:$U$6*($B$16:$U$16=""))</f>
        <v>35</v>
      </c>
    </row>
    <row r="8">
      <c r="A8" s="8" t="s">
        <v>83</v>
      </c>
      <c r="B8" s="14" t="str">
        <f t="shared" ref="B8:U8" si="1">IF(COUNT(B6:B7)&lt;2,"",B6&amp;"-"&amp;B7)</f>
        <v>8-0</v>
      </c>
      <c r="C8" s="14" t="str">
        <f t="shared" si="1"/>
        <v>2-11</v>
      </c>
      <c r="D8" s="14" t="str">
        <f t="shared" si="1"/>
        <v>1-7</v>
      </c>
      <c r="E8" s="14" t="str">
        <f t="shared" si="1"/>
        <v>2-6</v>
      </c>
      <c r="F8" s="14" t="str">
        <f t="shared" si="1"/>
        <v>4-8</v>
      </c>
      <c r="G8" s="14" t="str">
        <f t="shared" si="1"/>
        <v>2-5</v>
      </c>
      <c r="H8" s="14" t="str">
        <f t="shared" si="1"/>
        <v>1-4</v>
      </c>
      <c r="I8" s="14" t="str">
        <f t="shared" si="1"/>
        <v>10-0</v>
      </c>
      <c r="J8" s="14" t="str">
        <f t="shared" si="1"/>
        <v>3-9</v>
      </c>
      <c r="K8" s="14" t="str">
        <f t="shared" si="1"/>
        <v>3-13</v>
      </c>
      <c r="L8" s="14" t="str">
        <f t="shared" si="1"/>
        <v>1-6</v>
      </c>
      <c r="M8" s="14" t="str">
        <f t="shared" si="1"/>
        <v>2-13</v>
      </c>
      <c r="N8" s="14" t="str">
        <f t="shared" si="1"/>
        <v>3-3</v>
      </c>
      <c r="O8" s="14" t="str">
        <f t="shared" si="1"/>
        <v>1-12</v>
      </c>
      <c r="P8" s="14" t="str">
        <f t="shared" si="1"/>
        <v/>
      </c>
      <c r="Q8" s="14" t="str">
        <f t="shared" si="1"/>
        <v/>
      </c>
      <c r="R8" s="14" t="str">
        <f t="shared" si="1"/>
        <v/>
      </c>
      <c r="S8" s="14" t="str">
        <f t="shared" si="1"/>
        <v/>
      </c>
      <c r="T8" s="14" t="str">
        <f t="shared" si="1"/>
        <v/>
      </c>
      <c r="U8" s="14" t="str">
        <f t="shared" si="1"/>
        <v/>
      </c>
      <c r="X8" s="7" t="s">
        <v>94</v>
      </c>
      <c r="Y8" s="10">
        <f>SUMPRODUCT($B$7:$U$7*($B$16:$U$16=""))</f>
        <v>97</v>
      </c>
    </row>
    <row r="9">
      <c r="A9" s="8" t="s">
        <v>95</v>
      </c>
      <c r="B9" s="14" t="str">
        <f t="shared" ref="B9:U9" si="2">IF(COUNT(B6:B7)&lt;2,"",IF(B6&gt;B7,"W",IF(B6&lt;B7,"L","D")))</f>
        <v>W</v>
      </c>
      <c r="C9" s="14" t="str">
        <f t="shared" si="2"/>
        <v>L</v>
      </c>
      <c r="D9" s="14" t="str">
        <f t="shared" si="2"/>
        <v>L</v>
      </c>
      <c r="E9" s="14" t="str">
        <f t="shared" si="2"/>
        <v>L</v>
      </c>
      <c r="F9" s="14" t="str">
        <f t="shared" si="2"/>
        <v>L</v>
      </c>
      <c r="G9" s="14" t="str">
        <f t="shared" si="2"/>
        <v>L</v>
      </c>
      <c r="H9" s="14" t="str">
        <f t="shared" si="2"/>
        <v>L</v>
      </c>
      <c r="I9" s="14" t="str">
        <f t="shared" si="2"/>
        <v>W</v>
      </c>
      <c r="J9" s="14" t="str">
        <f t="shared" si="2"/>
        <v>L</v>
      </c>
      <c r="K9" s="14" t="str">
        <f t="shared" si="2"/>
        <v>L</v>
      </c>
      <c r="L9" s="14" t="str">
        <f t="shared" si="2"/>
        <v>L</v>
      </c>
      <c r="M9" s="14" t="str">
        <f t="shared" si="2"/>
        <v>L</v>
      </c>
      <c r="N9" s="14" t="str">
        <f t="shared" si="2"/>
        <v>D</v>
      </c>
      <c r="O9" s="14" t="str">
        <f t="shared" si="2"/>
        <v>L</v>
      </c>
      <c r="P9" s="14" t="str">
        <f t="shared" si="2"/>
        <v/>
      </c>
      <c r="Q9" s="14" t="str">
        <f t="shared" si="2"/>
        <v/>
      </c>
      <c r="R9" s="14" t="str">
        <f t="shared" si="2"/>
        <v/>
      </c>
      <c r="S9" s="14" t="str">
        <f t="shared" si="2"/>
        <v/>
      </c>
      <c r="T9" s="14" t="str">
        <f t="shared" si="2"/>
        <v/>
      </c>
      <c r="U9" s="14" t="str">
        <f t="shared" si="2"/>
        <v/>
      </c>
      <c r="X9" s="7" t="s">
        <v>96</v>
      </c>
      <c r="Y9" s="10" t="str">
        <f t="array" ref="Y9">IF(MAX($V$49:$V$76)=0,"—",INDEX($A$49:$A$76,MATCH(MAX($V$49:$V$76),$V$49:$V$76,0))&amp;" ("&amp;MAX($V$49:$V$76)&amp;")")</f>
        <v>Phil Knott (7)</v>
      </c>
    </row>
    <row r="10">
      <c r="A10" s="8" t="s">
        <v>97</v>
      </c>
      <c r="B10" s="15"/>
      <c r="C10" s="15"/>
      <c r="D10" s="15"/>
      <c r="E10" s="15"/>
      <c r="F10" s="15"/>
      <c r="G10" s="15"/>
      <c r="H10" s="15"/>
      <c r="I10" s="15"/>
      <c r="J10" s="15"/>
      <c r="K10" s="15"/>
      <c r="L10" s="15"/>
      <c r="M10" s="15"/>
      <c r="N10" s="15"/>
      <c r="O10" s="15"/>
      <c r="P10" s="15"/>
      <c r="Q10" s="15"/>
      <c r="R10" s="15"/>
      <c r="S10" s="15"/>
      <c r="T10" s="15"/>
      <c r="U10" s="15"/>
      <c r="X10" s="7" t="s">
        <v>106</v>
      </c>
      <c r="Y10" s="10" t="str">
        <f t="array" ref="Y10">IF(MAX($V$18:$V$45)=0,"—",INDEX($A$18:$A$45,MATCH(MAX($V$18:$V$45),$V$18:$V$45,0))&amp;" ("&amp;MAX($V$18:$V$45)&amp;")")</f>
        <v>Andy Cowan (10)</v>
      </c>
    </row>
    <row r="11">
      <c r="A11" s="8" t="s">
        <v>107</v>
      </c>
      <c r="B11" s="15"/>
      <c r="C11" s="15"/>
      <c r="D11" s="15"/>
      <c r="E11" s="15"/>
      <c r="F11" s="15"/>
      <c r="G11" s="15"/>
      <c r="H11" s="15"/>
      <c r="I11" s="15"/>
      <c r="J11" s="15"/>
      <c r="K11" s="15"/>
      <c r="L11" s="15"/>
      <c r="M11" s="15"/>
      <c r="N11" s="15"/>
      <c r="O11" s="15"/>
      <c r="P11" s="15"/>
      <c r="Q11" s="15"/>
      <c r="R11" s="15"/>
      <c r="S11" s="15"/>
      <c r="T11" s="15"/>
      <c r="U11" s="15"/>
      <c r="X11" s="7" t="s">
        <v>108</v>
      </c>
      <c r="Y11" s="16">
        <f>SUM($B$13:$U$13)</f>
        <v>0</v>
      </c>
    </row>
    <row r="12" ht="25.5" customHeight="1">
      <c r="A12" s="8" t="s">
        <v>112</v>
      </c>
      <c r="B12" s="17"/>
      <c r="C12" s="17"/>
      <c r="D12" s="17"/>
      <c r="E12" s="17"/>
      <c r="F12" s="17"/>
      <c r="G12" s="17"/>
      <c r="H12" s="17"/>
      <c r="I12" s="17"/>
      <c r="J12" s="17"/>
      <c r="K12" s="17"/>
      <c r="L12" s="17"/>
      <c r="M12" s="17"/>
      <c r="N12" s="17"/>
      <c r="O12" s="17"/>
      <c r="P12" s="17"/>
      <c r="Q12" s="17"/>
      <c r="R12" s="17"/>
      <c r="S12" s="17"/>
      <c r="T12" s="17"/>
      <c r="U12" s="17"/>
      <c r="X12" s="7" t="s">
        <v>119</v>
      </c>
      <c r="Y12" s="18"/>
    </row>
    <row r="13">
      <c r="A13" s="8" t="s">
        <v>123</v>
      </c>
      <c r="B13" s="19"/>
      <c r="C13" s="19"/>
      <c r="D13" s="19"/>
      <c r="E13" s="19"/>
      <c r="F13" s="19"/>
      <c r="G13" s="19"/>
      <c r="H13" s="19"/>
      <c r="I13" s="19"/>
      <c r="J13" s="19"/>
      <c r="K13" s="19"/>
      <c r="L13" s="19"/>
      <c r="M13" s="19"/>
      <c r="N13" s="19"/>
      <c r="O13" s="19"/>
      <c r="P13" s="19"/>
      <c r="Q13" s="19"/>
      <c r="R13" s="19"/>
      <c r="S13" s="19"/>
      <c r="T13" s="19"/>
      <c r="U13" s="19"/>
    </row>
    <row r="14">
      <c r="A14" s="8" t="s">
        <v>126</v>
      </c>
      <c r="B14" s="14">
        <f t="shared" ref="B14:U14" si="3">COUNT(B$18:B$45)</f>
        <v>0</v>
      </c>
      <c r="C14" s="14">
        <f t="shared" si="3"/>
        <v>6</v>
      </c>
      <c r="D14" s="14">
        <f t="shared" si="3"/>
        <v>8</v>
      </c>
      <c r="E14" s="14">
        <f t="shared" si="3"/>
        <v>6</v>
      </c>
      <c r="F14" s="14">
        <f t="shared" si="3"/>
        <v>7</v>
      </c>
      <c r="G14" s="14">
        <f t="shared" si="3"/>
        <v>7</v>
      </c>
      <c r="H14" s="14">
        <f t="shared" si="3"/>
        <v>8</v>
      </c>
      <c r="I14" s="14">
        <f t="shared" si="3"/>
        <v>8</v>
      </c>
      <c r="J14" s="14">
        <f t="shared" si="3"/>
        <v>6</v>
      </c>
      <c r="K14" s="14">
        <f t="shared" si="3"/>
        <v>8</v>
      </c>
      <c r="L14" s="14">
        <f t="shared" si="3"/>
        <v>7</v>
      </c>
      <c r="M14" s="14">
        <f t="shared" si="3"/>
        <v>4</v>
      </c>
      <c r="N14" s="14">
        <f t="shared" si="3"/>
        <v>6</v>
      </c>
      <c r="O14" s="14">
        <f t="shared" si="3"/>
        <v>5</v>
      </c>
      <c r="P14" s="14">
        <f t="shared" si="3"/>
        <v>0</v>
      </c>
      <c r="Q14" s="14">
        <f t="shared" si="3"/>
        <v>0</v>
      </c>
      <c r="R14" s="14">
        <f t="shared" si="3"/>
        <v>0</v>
      </c>
      <c r="S14" s="14">
        <f t="shared" si="3"/>
        <v>0</v>
      </c>
      <c r="T14" s="14">
        <f t="shared" si="3"/>
        <v>0</v>
      </c>
      <c r="U14" s="14">
        <f t="shared" si="3"/>
        <v>0</v>
      </c>
    </row>
    <row r="15">
      <c r="A15" s="8" t="s">
        <v>127</v>
      </c>
      <c r="B15" s="20">
        <f t="shared" ref="B15:U15" si="4">IF(B$14=0,0,N(B$13)/B$14)</f>
        <v>0</v>
      </c>
      <c r="C15" s="20">
        <f t="shared" si="4"/>
        <v>0</v>
      </c>
      <c r="D15" s="20">
        <f t="shared" si="4"/>
        <v>0</v>
      </c>
      <c r="E15" s="20">
        <f t="shared" si="4"/>
        <v>0</v>
      </c>
      <c r="F15" s="20">
        <f t="shared" si="4"/>
        <v>0</v>
      </c>
      <c r="G15" s="20">
        <f t="shared" si="4"/>
        <v>0</v>
      </c>
      <c r="H15" s="20">
        <f t="shared" si="4"/>
        <v>0</v>
      </c>
      <c r="I15" s="20">
        <f t="shared" si="4"/>
        <v>0</v>
      </c>
      <c r="J15" s="20">
        <f t="shared" si="4"/>
        <v>0</v>
      </c>
      <c r="K15" s="20">
        <f t="shared" si="4"/>
        <v>0</v>
      </c>
      <c r="L15" s="20">
        <f t="shared" si="4"/>
        <v>0</v>
      </c>
      <c r="M15" s="20">
        <f t="shared" si="4"/>
        <v>0</v>
      </c>
      <c r="N15" s="20">
        <f t="shared" si="4"/>
        <v>0</v>
      </c>
      <c r="O15" s="20">
        <f t="shared" si="4"/>
        <v>0</v>
      </c>
      <c r="P15" s="20">
        <f t="shared" si="4"/>
        <v>0</v>
      </c>
      <c r="Q15" s="20">
        <f t="shared" si="4"/>
        <v>0</v>
      </c>
      <c r="R15" s="20">
        <f t="shared" si="4"/>
        <v>0</v>
      </c>
      <c r="S15" s="20">
        <f t="shared" si="4"/>
        <v>0</v>
      </c>
      <c r="T15" s="20">
        <f t="shared" si="4"/>
        <v>0</v>
      </c>
      <c r="U15" s="20">
        <f t="shared" si="4"/>
        <v>0</v>
      </c>
    </row>
    <row r="16">
      <c r="A16" s="8" t="s">
        <v>128</v>
      </c>
      <c r="B16" s="13" t="s">
        <v>84</v>
      </c>
      <c r="C16" s="13"/>
      <c r="D16" s="13"/>
      <c r="E16" s="13"/>
      <c r="F16" s="13"/>
      <c r="G16" s="13"/>
      <c r="H16" s="13"/>
      <c r="I16" s="13"/>
      <c r="J16" s="13"/>
      <c r="K16" s="13"/>
      <c r="L16" s="13"/>
      <c r="M16" s="13"/>
      <c r="N16" s="13"/>
      <c r="O16" s="13"/>
      <c r="P16" s="13"/>
      <c r="Q16" s="13"/>
      <c r="R16" s="13"/>
      <c r="S16" s="13"/>
      <c r="T16" s="13"/>
      <c r="U16" s="13"/>
    </row>
    <row r="17">
      <c r="A17" s="21" t="s">
        <v>129</v>
      </c>
      <c r="B17" s="22" t="s">
        <v>41</v>
      </c>
      <c r="C17" s="22" t="s">
        <v>42</v>
      </c>
      <c r="D17" s="22" t="s">
        <v>43</v>
      </c>
      <c r="E17" s="22" t="s">
        <v>44</v>
      </c>
      <c r="F17" s="22" t="s">
        <v>45</v>
      </c>
      <c r="G17" s="22" t="s">
        <v>46</v>
      </c>
      <c r="H17" s="22" t="s">
        <v>47</v>
      </c>
      <c r="I17" s="22" t="s">
        <v>48</v>
      </c>
      <c r="J17" s="22" t="s">
        <v>49</v>
      </c>
      <c r="K17" s="22" t="s">
        <v>50</v>
      </c>
      <c r="L17" s="22" t="s">
        <v>51</v>
      </c>
      <c r="M17" s="22" t="s">
        <v>52</v>
      </c>
      <c r="N17" s="22" t="s">
        <v>53</v>
      </c>
      <c r="O17" s="22" t="s">
        <v>54</v>
      </c>
      <c r="P17" s="22" t="s">
        <v>55</v>
      </c>
      <c r="Q17" s="22" t="s">
        <v>56</v>
      </c>
      <c r="R17" s="22" t="s">
        <v>57</v>
      </c>
      <c r="S17" s="22" t="s">
        <v>58</v>
      </c>
      <c r="T17" s="22" t="s">
        <v>59</v>
      </c>
      <c r="U17" s="22" t="s">
        <v>60</v>
      </c>
      <c r="V17" s="22" t="s">
        <v>130</v>
      </c>
      <c r="W17" s="22" t="s">
        <v>131</v>
      </c>
    </row>
    <row r="18">
      <c r="A18" s="23" t="s">
        <v>132</v>
      </c>
      <c r="B18" s="15"/>
      <c r="C18" s="15"/>
      <c r="D18" s="15"/>
      <c r="E18" s="15"/>
      <c r="F18" s="15"/>
      <c r="G18" s="15"/>
      <c r="H18" s="15"/>
      <c r="I18" s="15"/>
      <c r="J18" s="15"/>
      <c r="K18" s="15"/>
      <c r="L18" s="15"/>
      <c r="M18" s="15"/>
      <c r="N18" s="15"/>
      <c r="O18" s="15"/>
      <c r="P18" s="15"/>
      <c r="Q18" s="15"/>
      <c r="R18" s="15"/>
      <c r="S18" s="15"/>
      <c r="T18" s="15"/>
      <c r="U18" s="15"/>
      <c r="V18" s="24">
        <f t="shared" ref="V18:V45" si="5">SUMPRODUCT(B18:U18*($B$16:$U$16=""))</f>
        <v>0</v>
      </c>
      <c r="W18" s="20">
        <f t="shared" ref="W18:W45" si="6">SUMPRODUCT($B18:$U18,$B$15:$U$15)</f>
        <v>0</v>
      </c>
    </row>
    <row r="19">
      <c r="A19" s="23" t="s">
        <v>133</v>
      </c>
      <c r="B19" s="15"/>
      <c r="C19" s="15"/>
      <c r="D19" s="15"/>
      <c r="E19" s="15"/>
      <c r="F19" s="15"/>
      <c r="G19" s="15"/>
      <c r="H19" s="15"/>
      <c r="I19" s="15"/>
      <c r="J19" s="15"/>
      <c r="K19" s="15">
        <v>1.0</v>
      </c>
      <c r="L19" s="15"/>
      <c r="M19" s="15"/>
      <c r="N19" s="15"/>
      <c r="O19" s="15">
        <v>1.0</v>
      </c>
      <c r="P19" s="15"/>
      <c r="Q19" s="15"/>
      <c r="R19" s="15"/>
      <c r="S19" s="15"/>
      <c r="T19" s="15"/>
      <c r="U19" s="15"/>
      <c r="V19" s="24">
        <f t="shared" si="5"/>
        <v>2</v>
      </c>
      <c r="W19" s="20">
        <f t="shared" si="6"/>
        <v>0</v>
      </c>
    </row>
    <row r="20">
      <c r="A20" s="23" t="s">
        <v>103</v>
      </c>
      <c r="B20" s="15"/>
      <c r="C20" s="15">
        <v>1.0</v>
      </c>
      <c r="D20" s="15"/>
      <c r="E20" s="15">
        <v>1.0</v>
      </c>
      <c r="F20" s="15">
        <v>1.0</v>
      </c>
      <c r="G20" s="15">
        <v>1.0</v>
      </c>
      <c r="H20" s="15"/>
      <c r="I20" s="15">
        <v>1.0</v>
      </c>
      <c r="J20" s="15"/>
      <c r="K20" s="15">
        <v>1.0</v>
      </c>
      <c r="L20" s="15">
        <v>1.0</v>
      </c>
      <c r="M20" s="15">
        <v>1.0</v>
      </c>
      <c r="N20" s="15">
        <v>1.0</v>
      </c>
      <c r="O20" s="15">
        <v>1.0</v>
      </c>
      <c r="P20" s="15"/>
      <c r="Q20" s="15"/>
      <c r="R20" s="15"/>
      <c r="S20" s="15"/>
      <c r="T20" s="15"/>
      <c r="U20" s="15"/>
      <c r="V20" s="24">
        <f t="shared" si="5"/>
        <v>10</v>
      </c>
      <c r="W20" s="20">
        <f t="shared" si="6"/>
        <v>0</v>
      </c>
    </row>
    <row r="21" ht="15.75" customHeight="1">
      <c r="A21" s="23" t="s">
        <v>110</v>
      </c>
      <c r="B21" s="15"/>
      <c r="C21" s="15"/>
      <c r="D21" s="15">
        <v>1.0</v>
      </c>
      <c r="E21" s="15"/>
      <c r="F21" s="15">
        <v>1.0</v>
      </c>
      <c r="G21" s="15">
        <v>1.0</v>
      </c>
      <c r="H21" s="15">
        <v>1.0</v>
      </c>
      <c r="I21" s="15">
        <v>1.0</v>
      </c>
      <c r="J21" s="15"/>
      <c r="K21" s="15">
        <v>1.0</v>
      </c>
      <c r="L21" s="15">
        <v>1.0</v>
      </c>
      <c r="M21" s="15"/>
      <c r="N21" s="15">
        <v>1.0</v>
      </c>
      <c r="O21" s="15"/>
      <c r="P21" s="15"/>
      <c r="Q21" s="15"/>
      <c r="R21" s="15"/>
      <c r="S21" s="15"/>
      <c r="T21" s="15"/>
      <c r="U21" s="15"/>
      <c r="V21" s="24">
        <f t="shared" si="5"/>
        <v>8</v>
      </c>
      <c r="W21" s="20">
        <f t="shared" si="6"/>
        <v>0</v>
      </c>
    </row>
    <row r="22" ht="15.75" customHeight="1">
      <c r="A22" s="23" t="s">
        <v>100</v>
      </c>
      <c r="B22" s="15"/>
      <c r="C22" s="15"/>
      <c r="D22" s="15">
        <v>1.0</v>
      </c>
      <c r="E22" s="15">
        <v>1.0</v>
      </c>
      <c r="F22" s="15"/>
      <c r="G22" s="15"/>
      <c r="H22" s="15">
        <v>1.0</v>
      </c>
      <c r="I22" s="15">
        <v>1.0</v>
      </c>
      <c r="J22" s="15">
        <v>1.0</v>
      </c>
      <c r="K22" s="15"/>
      <c r="L22" s="15">
        <v>1.0</v>
      </c>
      <c r="M22" s="15"/>
      <c r="N22" s="15">
        <v>1.0</v>
      </c>
      <c r="O22" s="15"/>
      <c r="P22" s="15"/>
      <c r="Q22" s="15"/>
      <c r="R22" s="15"/>
      <c r="S22" s="15"/>
      <c r="T22" s="15"/>
      <c r="U22" s="15"/>
      <c r="V22" s="24">
        <f t="shared" si="5"/>
        <v>7</v>
      </c>
      <c r="W22" s="20">
        <f t="shared" si="6"/>
        <v>0</v>
      </c>
    </row>
    <row r="23" ht="15.75" customHeight="1">
      <c r="A23" s="23" t="s">
        <v>134</v>
      </c>
      <c r="B23" s="15"/>
      <c r="C23" s="15"/>
      <c r="D23" s="15"/>
      <c r="E23" s="15"/>
      <c r="F23" s="15"/>
      <c r="G23" s="15"/>
      <c r="H23" s="15"/>
      <c r="I23" s="15"/>
      <c r="J23" s="15">
        <v>1.0</v>
      </c>
      <c r="K23" s="15"/>
      <c r="L23" s="15"/>
      <c r="M23" s="15"/>
      <c r="N23" s="15"/>
      <c r="O23" s="15"/>
      <c r="P23" s="15"/>
      <c r="Q23" s="15"/>
      <c r="R23" s="15"/>
      <c r="S23" s="15"/>
      <c r="T23" s="15"/>
      <c r="U23" s="15"/>
      <c r="V23" s="24">
        <f t="shared" si="5"/>
        <v>1</v>
      </c>
      <c r="W23" s="20">
        <f t="shared" si="6"/>
        <v>0</v>
      </c>
    </row>
    <row r="24" ht="15.75" customHeight="1">
      <c r="A24" s="23" t="s">
        <v>135</v>
      </c>
      <c r="B24" s="15"/>
      <c r="C24" s="15"/>
      <c r="D24" s="15"/>
      <c r="E24" s="15"/>
      <c r="F24" s="15"/>
      <c r="G24" s="15"/>
      <c r="H24" s="15"/>
      <c r="I24" s="15"/>
      <c r="J24" s="15"/>
      <c r="K24" s="15"/>
      <c r="L24" s="15"/>
      <c r="M24" s="15"/>
      <c r="N24" s="15"/>
      <c r="O24" s="15"/>
      <c r="P24" s="15"/>
      <c r="Q24" s="15"/>
      <c r="R24" s="15"/>
      <c r="S24" s="15"/>
      <c r="T24" s="15"/>
      <c r="U24" s="15"/>
      <c r="V24" s="24">
        <f t="shared" si="5"/>
        <v>0</v>
      </c>
      <c r="W24" s="20">
        <f t="shared" si="6"/>
        <v>0</v>
      </c>
    </row>
    <row r="25" ht="15.75" customHeight="1">
      <c r="A25" s="23" t="s">
        <v>136</v>
      </c>
      <c r="B25" s="15"/>
      <c r="C25" s="15"/>
      <c r="D25" s="15"/>
      <c r="E25" s="15"/>
      <c r="F25" s="15"/>
      <c r="G25" s="15"/>
      <c r="H25" s="15"/>
      <c r="I25" s="15"/>
      <c r="J25" s="15"/>
      <c r="K25" s="15"/>
      <c r="L25" s="15"/>
      <c r="M25" s="15"/>
      <c r="N25" s="15"/>
      <c r="O25" s="15"/>
      <c r="P25" s="15"/>
      <c r="Q25" s="15"/>
      <c r="R25" s="15"/>
      <c r="S25" s="15"/>
      <c r="T25" s="15"/>
      <c r="U25" s="15"/>
      <c r="V25" s="24">
        <f t="shared" si="5"/>
        <v>0</v>
      </c>
      <c r="W25" s="20">
        <f t="shared" si="6"/>
        <v>0</v>
      </c>
    </row>
    <row r="26" ht="15.75" customHeight="1">
      <c r="A26" s="23" t="s">
        <v>104</v>
      </c>
      <c r="B26" s="15"/>
      <c r="C26" s="15">
        <v>1.0</v>
      </c>
      <c r="D26" s="15">
        <v>1.0</v>
      </c>
      <c r="E26" s="15">
        <v>1.0</v>
      </c>
      <c r="F26" s="15"/>
      <c r="G26" s="15"/>
      <c r="H26" s="15"/>
      <c r="I26" s="15">
        <v>1.0</v>
      </c>
      <c r="J26" s="15"/>
      <c r="K26" s="15">
        <v>1.0</v>
      </c>
      <c r="L26" s="15"/>
      <c r="M26" s="15">
        <v>1.0</v>
      </c>
      <c r="N26" s="15"/>
      <c r="O26" s="15">
        <v>1.0</v>
      </c>
      <c r="P26" s="15"/>
      <c r="Q26" s="15"/>
      <c r="R26" s="15"/>
      <c r="S26" s="15"/>
      <c r="T26" s="15"/>
      <c r="U26" s="15"/>
      <c r="V26" s="24">
        <f t="shared" si="5"/>
        <v>7</v>
      </c>
      <c r="W26" s="20">
        <f t="shared" si="6"/>
        <v>0</v>
      </c>
    </row>
    <row r="27" ht="15.75" customHeight="1">
      <c r="A27" s="23" t="s">
        <v>137</v>
      </c>
      <c r="B27" s="15"/>
      <c r="C27" s="15"/>
      <c r="D27" s="15"/>
      <c r="E27" s="15"/>
      <c r="F27" s="15">
        <v>1.0</v>
      </c>
      <c r="G27" s="15"/>
      <c r="H27" s="15">
        <v>1.0</v>
      </c>
      <c r="I27" s="15">
        <v>1.0</v>
      </c>
      <c r="J27" s="15">
        <v>1.0</v>
      </c>
      <c r="K27" s="15">
        <v>1.0</v>
      </c>
      <c r="L27" s="15"/>
      <c r="M27" s="15"/>
      <c r="N27" s="15"/>
      <c r="O27" s="15"/>
      <c r="P27" s="15"/>
      <c r="Q27" s="15"/>
      <c r="R27" s="15"/>
      <c r="S27" s="15"/>
      <c r="T27" s="15"/>
      <c r="U27" s="15"/>
      <c r="V27" s="24">
        <f t="shared" si="5"/>
        <v>5</v>
      </c>
      <c r="W27" s="20">
        <f t="shared" si="6"/>
        <v>0</v>
      </c>
    </row>
    <row r="28" ht="15.75" customHeight="1">
      <c r="A28" s="23" t="s">
        <v>101</v>
      </c>
      <c r="B28" s="15"/>
      <c r="C28" s="15">
        <v>1.0</v>
      </c>
      <c r="D28" s="15"/>
      <c r="E28" s="15"/>
      <c r="F28" s="15"/>
      <c r="G28" s="15"/>
      <c r="H28" s="15"/>
      <c r="I28" s="15"/>
      <c r="J28" s="15">
        <v>1.0</v>
      </c>
      <c r="K28" s="15"/>
      <c r="L28" s="15"/>
      <c r="M28" s="15"/>
      <c r="N28" s="15"/>
      <c r="O28" s="15"/>
      <c r="P28" s="15"/>
      <c r="Q28" s="15"/>
      <c r="R28" s="15"/>
      <c r="S28" s="15"/>
      <c r="T28" s="15"/>
      <c r="U28" s="15"/>
      <c r="V28" s="24">
        <f t="shared" si="5"/>
        <v>2</v>
      </c>
      <c r="W28" s="20">
        <f t="shared" si="6"/>
        <v>0</v>
      </c>
    </row>
    <row r="29" ht="15.75" customHeight="1">
      <c r="A29" s="23" t="s">
        <v>98</v>
      </c>
      <c r="B29" s="15"/>
      <c r="C29" s="15">
        <v>1.0</v>
      </c>
      <c r="D29" s="15">
        <v>1.0</v>
      </c>
      <c r="E29" s="15">
        <v>1.0</v>
      </c>
      <c r="F29" s="15">
        <v>1.0</v>
      </c>
      <c r="G29" s="15">
        <v>1.0</v>
      </c>
      <c r="H29" s="15">
        <v>1.0</v>
      </c>
      <c r="I29" s="15">
        <v>1.0</v>
      </c>
      <c r="J29" s="15"/>
      <c r="K29" s="15">
        <v>1.0</v>
      </c>
      <c r="L29" s="15">
        <v>1.0</v>
      </c>
      <c r="M29" s="15"/>
      <c r="N29" s="15">
        <v>1.0</v>
      </c>
      <c r="O29" s="15"/>
      <c r="P29" s="15"/>
      <c r="Q29" s="15"/>
      <c r="R29" s="15"/>
      <c r="S29" s="15"/>
      <c r="T29" s="15"/>
      <c r="U29" s="15"/>
      <c r="V29" s="24">
        <f t="shared" si="5"/>
        <v>10</v>
      </c>
      <c r="W29" s="20">
        <f t="shared" si="6"/>
        <v>0</v>
      </c>
    </row>
    <row r="30" ht="15.75" customHeight="1">
      <c r="A30" s="23" t="s">
        <v>138</v>
      </c>
      <c r="B30" s="15"/>
      <c r="C30" s="15"/>
      <c r="D30" s="15"/>
      <c r="E30" s="15"/>
      <c r="F30" s="15"/>
      <c r="G30" s="15"/>
      <c r="H30" s="15"/>
      <c r="I30" s="15"/>
      <c r="J30" s="15"/>
      <c r="K30" s="15"/>
      <c r="L30" s="15"/>
      <c r="M30" s="15"/>
      <c r="N30" s="15"/>
      <c r="O30" s="15"/>
      <c r="P30" s="15"/>
      <c r="Q30" s="15"/>
      <c r="R30" s="15"/>
      <c r="S30" s="15"/>
      <c r="T30" s="15"/>
      <c r="U30" s="15"/>
      <c r="V30" s="24">
        <f t="shared" si="5"/>
        <v>0</v>
      </c>
      <c r="W30" s="20">
        <f t="shared" si="6"/>
        <v>0</v>
      </c>
    </row>
    <row r="31" ht="15.75" customHeight="1">
      <c r="A31" s="23" t="s">
        <v>139</v>
      </c>
      <c r="B31" s="15"/>
      <c r="C31" s="15"/>
      <c r="D31" s="15"/>
      <c r="E31" s="15"/>
      <c r="F31" s="15"/>
      <c r="G31" s="15"/>
      <c r="H31" s="15"/>
      <c r="I31" s="15"/>
      <c r="J31" s="15"/>
      <c r="K31" s="15"/>
      <c r="L31" s="15"/>
      <c r="M31" s="15"/>
      <c r="N31" s="15"/>
      <c r="O31" s="15"/>
      <c r="P31" s="15"/>
      <c r="Q31" s="15"/>
      <c r="R31" s="15"/>
      <c r="S31" s="15"/>
      <c r="T31" s="15"/>
      <c r="U31" s="15"/>
      <c r="V31" s="24">
        <f t="shared" si="5"/>
        <v>0</v>
      </c>
      <c r="W31" s="20">
        <f t="shared" si="6"/>
        <v>0</v>
      </c>
    </row>
    <row r="32" ht="15.75" customHeight="1">
      <c r="A32" s="23" t="s">
        <v>140</v>
      </c>
      <c r="B32" s="15"/>
      <c r="C32" s="15"/>
      <c r="D32" s="15"/>
      <c r="E32" s="15"/>
      <c r="F32" s="15"/>
      <c r="G32" s="15"/>
      <c r="H32" s="15"/>
      <c r="I32" s="15"/>
      <c r="J32" s="15"/>
      <c r="K32" s="15"/>
      <c r="L32" s="15"/>
      <c r="M32" s="15"/>
      <c r="N32" s="15"/>
      <c r="O32" s="15"/>
      <c r="P32" s="15"/>
      <c r="Q32" s="15"/>
      <c r="R32" s="15"/>
      <c r="S32" s="15"/>
      <c r="T32" s="15"/>
      <c r="U32" s="15"/>
      <c r="V32" s="24">
        <f t="shared" si="5"/>
        <v>0</v>
      </c>
      <c r="W32" s="20">
        <f t="shared" si="6"/>
        <v>0</v>
      </c>
    </row>
    <row r="33" ht="15.75" customHeight="1">
      <c r="A33" s="23" t="s">
        <v>141</v>
      </c>
      <c r="B33" s="15"/>
      <c r="C33" s="15"/>
      <c r="D33" s="15"/>
      <c r="E33" s="15"/>
      <c r="F33" s="15"/>
      <c r="G33" s="15"/>
      <c r="H33" s="15"/>
      <c r="I33" s="15"/>
      <c r="J33" s="15"/>
      <c r="K33" s="15"/>
      <c r="L33" s="15"/>
      <c r="M33" s="15"/>
      <c r="N33" s="15"/>
      <c r="O33" s="15"/>
      <c r="P33" s="15"/>
      <c r="Q33" s="15"/>
      <c r="R33" s="15"/>
      <c r="S33" s="15"/>
      <c r="T33" s="15"/>
      <c r="U33" s="15"/>
      <c r="V33" s="24">
        <f t="shared" si="5"/>
        <v>0</v>
      </c>
      <c r="W33" s="20">
        <f t="shared" si="6"/>
        <v>0</v>
      </c>
    </row>
    <row r="34" ht="15.75" customHeight="1">
      <c r="A34" s="23" t="s">
        <v>105</v>
      </c>
      <c r="B34" s="15"/>
      <c r="C34" s="15">
        <v>1.0</v>
      </c>
      <c r="D34" s="15">
        <v>1.0</v>
      </c>
      <c r="E34" s="15"/>
      <c r="F34" s="15">
        <v>1.0</v>
      </c>
      <c r="G34" s="15">
        <v>1.0</v>
      </c>
      <c r="H34" s="15">
        <v>1.0</v>
      </c>
      <c r="I34" s="15"/>
      <c r="J34" s="15">
        <v>1.0</v>
      </c>
      <c r="K34" s="15"/>
      <c r="L34" s="15"/>
      <c r="M34" s="15">
        <v>1.0</v>
      </c>
      <c r="N34" s="15"/>
      <c r="O34" s="15">
        <v>1.0</v>
      </c>
      <c r="P34" s="15"/>
      <c r="Q34" s="15"/>
      <c r="R34" s="15"/>
      <c r="S34" s="15"/>
      <c r="T34" s="15"/>
      <c r="U34" s="15"/>
      <c r="V34" s="24">
        <f t="shared" si="5"/>
        <v>8</v>
      </c>
      <c r="W34" s="20">
        <f t="shared" si="6"/>
        <v>0</v>
      </c>
    </row>
    <row r="35" ht="15.75" customHeight="1">
      <c r="A35" s="23" t="s">
        <v>111</v>
      </c>
      <c r="B35" s="15"/>
      <c r="C35" s="15"/>
      <c r="D35" s="15">
        <v>1.0</v>
      </c>
      <c r="E35" s="15"/>
      <c r="F35" s="15">
        <v>1.0</v>
      </c>
      <c r="G35" s="15">
        <v>1.0</v>
      </c>
      <c r="H35" s="15">
        <v>1.0</v>
      </c>
      <c r="I35" s="15">
        <v>1.0</v>
      </c>
      <c r="J35" s="15">
        <v>1.0</v>
      </c>
      <c r="K35" s="15"/>
      <c r="L35" s="15">
        <v>1.0</v>
      </c>
      <c r="M35" s="15"/>
      <c r="N35" s="15"/>
      <c r="O35" s="15"/>
      <c r="P35" s="15"/>
      <c r="Q35" s="15"/>
      <c r="R35" s="15"/>
      <c r="S35" s="15"/>
      <c r="T35" s="15"/>
      <c r="U35" s="15"/>
      <c r="V35" s="24">
        <f t="shared" si="5"/>
        <v>7</v>
      </c>
      <c r="W35" s="20">
        <f t="shared" si="6"/>
        <v>0</v>
      </c>
    </row>
    <row r="36" ht="15.75" customHeight="1">
      <c r="A36" s="23" t="s">
        <v>102</v>
      </c>
      <c r="B36" s="15"/>
      <c r="C36" s="15"/>
      <c r="D36" s="15">
        <v>1.0</v>
      </c>
      <c r="E36" s="15">
        <v>1.0</v>
      </c>
      <c r="F36" s="15"/>
      <c r="G36" s="15">
        <v>1.0</v>
      </c>
      <c r="H36" s="15">
        <v>1.0</v>
      </c>
      <c r="I36" s="15">
        <v>1.0</v>
      </c>
      <c r="J36" s="15"/>
      <c r="K36" s="15">
        <v>1.0</v>
      </c>
      <c r="L36" s="15">
        <v>1.0</v>
      </c>
      <c r="M36" s="15"/>
      <c r="N36" s="15">
        <v>1.0</v>
      </c>
      <c r="O36" s="15">
        <v>1.0</v>
      </c>
      <c r="P36" s="15"/>
      <c r="Q36" s="15"/>
      <c r="R36" s="15"/>
      <c r="S36" s="15"/>
      <c r="T36" s="15"/>
      <c r="U36" s="15"/>
      <c r="V36" s="24">
        <f t="shared" si="5"/>
        <v>9</v>
      </c>
      <c r="W36" s="20">
        <f t="shared" si="6"/>
        <v>0</v>
      </c>
    </row>
    <row r="37" ht="15.75" customHeight="1">
      <c r="A37" s="23" t="s">
        <v>142</v>
      </c>
      <c r="B37" s="15"/>
      <c r="C37" s="15"/>
      <c r="D37" s="15"/>
      <c r="E37" s="15"/>
      <c r="F37" s="15"/>
      <c r="G37" s="15"/>
      <c r="H37" s="15"/>
      <c r="I37" s="15"/>
      <c r="J37" s="15"/>
      <c r="K37" s="15"/>
      <c r="L37" s="15"/>
      <c r="M37" s="15"/>
      <c r="N37" s="15"/>
      <c r="O37" s="15"/>
      <c r="P37" s="15"/>
      <c r="Q37" s="15"/>
      <c r="R37" s="15"/>
      <c r="S37" s="15"/>
      <c r="T37" s="15"/>
      <c r="U37" s="15"/>
      <c r="V37" s="24">
        <f t="shared" si="5"/>
        <v>0</v>
      </c>
      <c r="W37" s="20">
        <f t="shared" si="6"/>
        <v>0</v>
      </c>
    </row>
    <row r="38" ht="15.75" customHeight="1">
      <c r="A38" s="23" t="s">
        <v>99</v>
      </c>
      <c r="B38" s="15"/>
      <c r="C38" s="15">
        <v>1.0</v>
      </c>
      <c r="D38" s="15"/>
      <c r="E38" s="15"/>
      <c r="F38" s="15"/>
      <c r="G38" s="15"/>
      <c r="H38" s="15"/>
      <c r="I38" s="15"/>
      <c r="J38" s="15"/>
      <c r="K38" s="15"/>
      <c r="L38" s="15"/>
      <c r="M38" s="15"/>
      <c r="N38" s="15"/>
      <c r="O38" s="15"/>
      <c r="P38" s="15"/>
      <c r="Q38" s="15"/>
      <c r="R38" s="15"/>
      <c r="S38" s="15"/>
      <c r="T38" s="15"/>
      <c r="U38" s="15"/>
      <c r="V38" s="24">
        <f t="shared" si="5"/>
        <v>1</v>
      </c>
      <c r="W38" s="20">
        <f t="shared" si="6"/>
        <v>0</v>
      </c>
    </row>
    <row r="39" ht="15.75" customHeight="1">
      <c r="A39" s="23" t="s">
        <v>143</v>
      </c>
      <c r="B39" s="15"/>
      <c r="C39" s="15"/>
      <c r="D39" s="15">
        <v>1.0</v>
      </c>
      <c r="E39" s="15">
        <v>1.0</v>
      </c>
      <c r="F39" s="15">
        <v>1.0</v>
      </c>
      <c r="G39" s="15">
        <v>1.0</v>
      </c>
      <c r="H39" s="15">
        <v>1.0</v>
      </c>
      <c r="I39" s="15"/>
      <c r="J39" s="15"/>
      <c r="K39" s="15">
        <v>1.0</v>
      </c>
      <c r="L39" s="15">
        <v>1.0</v>
      </c>
      <c r="M39" s="15">
        <v>1.0</v>
      </c>
      <c r="N39" s="15">
        <v>1.0</v>
      </c>
      <c r="O39" s="15"/>
      <c r="P39" s="15"/>
      <c r="Q39" s="15"/>
      <c r="R39" s="15"/>
      <c r="S39" s="15"/>
      <c r="T39" s="15"/>
      <c r="U39" s="15"/>
      <c r="V39" s="24">
        <f t="shared" si="5"/>
        <v>9</v>
      </c>
      <c r="W39" s="20">
        <f t="shared" si="6"/>
        <v>0</v>
      </c>
    </row>
    <row r="40" ht="15.75" customHeight="1">
      <c r="A40" s="23"/>
      <c r="B40" s="15"/>
      <c r="C40" s="15"/>
      <c r="D40" s="15"/>
      <c r="E40" s="15"/>
      <c r="F40" s="15"/>
      <c r="G40" s="15"/>
      <c r="H40" s="15"/>
      <c r="I40" s="15"/>
      <c r="J40" s="15"/>
      <c r="K40" s="15"/>
      <c r="L40" s="15"/>
      <c r="M40" s="15"/>
      <c r="N40" s="15"/>
      <c r="O40" s="15"/>
      <c r="P40" s="15"/>
      <c r="Q40" s="15"/>
      <c r="R40" s="15"/>
      <c r="S40" s="15"/>
      <c r="T40" s="15"/>
      <c r="U40" s="15"/>
      <c r="V40" s="24">
        <f t="shared" si="5"/>
        <v>0</v>
      </c>
      <c r="W40" s="20">
        <f t="shared" si="6"/>
        <v>0</v>
      </c>
    </row>
    <row r="41" ht="15.75" customHeight="1">
      <c r="A41" s="23"/>
      <c r="B41" s="15"/>
      <c r="C41" s="15"/>
      <c r="D41" s="15"/>
      <c r="E41" s="15"/>
      <c r="F41" s="15"/>
      <c r="G41" s="15"/>
      <c r="H41" s="15"/>
      <c r="I41" s="15"/>
      <c r="J41" s="15"/>
      <c r="K41" s="15"/>
      <c r="L41" s="15"/>
      <c r="M41" s="15"/>
      <c r="N41" s="15"/>
      <c r="O41" s="15"/>
      <c r="P41" s="15"/>
      <c r="Q41" s="15"/>
      <c r="R41" s="15"/>
      <c r="S41" s="15"/>
      <c r="T41" s="15"/>
      <c r="U41" s="15"/>
      <c r="V41" s="24">
        <f t="shared" si="5"/>
        <v>0</v>
      </c>
      <c r="W41" s="20">
        <f t="shared" si="6"/>
        <v>0</v>
      </c>
    </row>
    <row r="42" ht="15.75" customHeight="1">
      <c r="A42" s="23"/>
      <c r="B42" s="15"/>
      <c r="C42" s="15"/>
      <c r="D42" s="15"/>
      <c r="E42" s="15"/>
      <c r="F42" s="15"/>
      <c r="G42" s="15"/>
      <c r="H42" s="15"/>
      <c r="I42" s="15"/>
      <c r="J42" s="15"/>
      <c r="K42" s="15"/>
      <c r="L42" s="15"/>
      <c r="M42" s="15"/>
      <c r="N42" s="15"/>
      <c r="O42" s="15"/>
      <c r="P42" s="15"/>
      <c r="Q42" s="15"/>
      <c r="R42" s="15"/>
      <c r="S42" s="15"/>
      <c r="T42" s="15"/>
      <c r="U42" s="15"/>
      <c r="V42" s="24">
        <f t="shared" si="5"/>
        <v>0</v>
      </c>
      <c r="W42" s="20">
        <f t="shared" si="6"/>
        <v>0</v>
      </c>
    </row>
    <row r="43" ht="15.75" customHeight="1">
      <c r="A43" s="23"/>
      <c r="B43" s="15"/>
      <c r="C43" s="15"/>
      <c r="D43" s="15"/>
      <c r="E43" s="15"/>
      <c r="F43" s="15"/>
      <c r="G43" s="15"/>
      <c r="H43" s="15"/>
      <c r="I43" s="15"/>
      <c r="J43" s="15"/>
      <c r="K43" s="15"/>
      <c r="L43" s="15"/>
      <c r="M43" s="15"/>
      <c r="N43" s="15"/>
      <c r="O43" s="15"/>
      <c r="P43" s="15"/>
      <c r="Q43" s="15"/>
      <c r="R43" s="15"/>
      <c r="S43" s="15"/>
      <c r="T43" s="15"/>
      <c r="U43" s="15"/>
      <c r="V43" s="24">
        <f t="shared" si="5"/>
        <v>0</v>
      </c>
      <c r="W43" s="20">
        <f t="shared" si="6"/>
        <v>0</v>
      </c>
    </row>
    <row r="44" ht="15.75" customHeight="1">
      <c r="A44" s="23"/>
      <c r="B44" s="15"/>
      <c r="C44" s="15"/>
      <c r="D44" s="15"/>
      <c r="E44" s="15"/>
      <c r="F44" s="15"/>
      <c r="G44" s="15"/>
      <c r="H44" s="15"/>
      <c r="I44" s="15"/>
      <c r="J44" s="15"/>
      <c r="K44" s="15"/>
      <c r="L44" s="15"/>
      <c r="M44" s="15"/>
      <c r="N44" s="15"/>
      <c r="O44" s="15"/>
      <c r="P44" s="15"/>
      <c r="Q44" s="15"/>
      <c r="R44" s="15"/>
      <c r="S44" s="15"/>
      <c r="T44" s="15"/>
      <c r="U44" s="15"/>
      <c r="V44" s="24">
        <f t="shared" si="5"/>
        <v>0</v>
      </c>
      <c r="W44" s="20">
        <f t="shared" si="6"/>
        <v>0</v>
      </c>
    </row>
    <row r="45" ht="15.75" customHeight="1">
      <c r="A45" s="23"/>
      <c r="B45" s="15"/>
      <c r="C45" s="15"/>
      <c r="D45" s="15"/>
      <c r="E45" s="15"/>
      <c r="F45" s="15"/>
      <c r="G45" s="15"/>
      <c r="H45" s="15"/>
      <c r="I45" s="15"/>
      <c r="J45" s="15"/>
      <c r="K45" s="15"/>
      <c r="L45" s="15"/>
      <c r="M45" s="15"/>
      <c r="N45" s="15"/>
      <c r="O45" s="15"/>
      <c r="P45" s="15"/>
      <c r="Q45" s="15"/>
      <c r="R45" s="15"/>
      <c r="S45" s="15"/>
      <c r="T45" s="15"/>
      <c r="U45" s="15"/>
      <c r="V45" s="24">
        <f t="shared" si="5"/>
        <v>0</v>
      </c>
      <c r="W45" s="20">
        <f t="shared" si="6"/>
        <v>0</v>
      </c>
    </row>
    <row r="46" ht="15.75" customHeight="1">
      <c r="A46" s="7" t="s">
        <v>144</v>
      </c>
      <c r="V46" s="24">
        <f t="shared" ref="V46:W46" si="7">SUM(V18:V45)</f>
        <v>86</v>
      </c>
      <c r="W46" s="25">
        <f t="shared" si="7"/>
        <v>0</v>
      </c>
    </row>
    <row r="47" ht="15.75" customHeight="1"/>
    <row r="48" ht="15.75" customHeight="1">
      <c r="A48" s="21" t="s">
        <v>146</v>
      </c>
      <c r="B48" s="22" t="s">
        <v>41</v>
      </c>
      <c r="C48" s="22" t="s">
        <v>42</v>
      </c>
      <c r="D48" s="22" t="s">
        <v>43</v>
      </c>
      <c r="E48" s="22" t="s">
        <v>44</v>
      </c>
      <c r="F48" s="22" t="s">
        <v>45</v>
      </c>
      <c r="G48" s="22" t="s">
        <v>46</v>
      </c>
      <c r="H48" s="22" t="s">
        <v>47</v>
      </c>
      <c r="I48" s="22" t="s">
        <v>48</v>
      </c>
      <c r="J48" s="22" t="s">
        <v>49</v>
      </c>
      <c r="K48" s="22" t="s">
        <v>50</v>
      </c>
      <c r="L48" s="22" t="s">
        <v>51</v>
      </c>
      <c r="M48" s="22" t="s">
        <v>52</v>
      </c>
      <c r="N48" s="22" t="s">
        <v>53</v>
      </c>
      <c r="O48" s="22" t="s">
        <v>54</v>
      </c>
      <c r="P48" s="22" t="s">
        <v>55</v>
      </c>
      <c r="Q48" s="22" t="s">
        <v>56</v>
      </c>
      <c r="R48" s="22" t="s">
        <v>57</v>
      </c>
      <c r="S48" s="22" t="s">
        <v>58</v>
      </c>
      <c r="T48" s="22" t="s">
        <v>59</v>
      </c>
      <c r="U48" s="22" t="s">
        <v>60</v>
      </c>
      <c r="V48" s="22" t="s">
        <v>147</v>
      </c>
    </row>
    <row r="49" ht="15.75" customHeight="1">
      <c r="A49" s="23" t="str">
        <f t="shared" ref="A49:A76" si="8">IF($A18="","",$A18)</f>
        <v>Ahmed</v>
      </c>
      <c r="B49" s="15"/>
      <c r="C49" s="15"/>
      <c r="D49" s="15"/>
      <c r="E49" s="15"/>
      <c r="F49" s="15"/>
      <c r="G49" s="15"/>
      <c r="H49" s="15"/>
      <c r="I49" s="15"/>
      <c r="J49" s="15"/>
      <c r="K49" s="15"/>
      <c r="L49" s="15"/>
      <c r="M49" s="15"/>
      <c r="N49" s="15"/>
      <c r="O49" s="15"/>
      <c r="P49" s="15"/>
      <c r="Q49" s="15"/>
      <c r="R49" s="15"/>
      <c r="S49" s="15"/>
      <c r="T49" s="15"/>
      <c r="U49" s="15"/>
      <c r="V49" s="24">
        <f t="shared" ref="V49:V76" si="9">SUMPRODUCT(B49:U49*($B$16:$U$16=""))</f>
        <v>0</v>
      </c>
    </row>
    <row r="50" ht="15.75" customHeight="1">
      <c r="A50" s="23" t="str">
        <f t="shared" si="8"/>
        <v>Alex Ruben</v>
      </c>
      <c r="B50" s="15"/>
      <c r="C50" s="15"/>
      <c r="D50" s="15"/>
      <c r="E50" s="15"/>
      <c r="F50" s="15"/>
      <c r="G50" s="15"/>
      <c r="H50" s="15"/>
      <c r="I50" s="15"/>
      <c r="J50" s="15"/>
      <c r="K50" s="15"/>
      <c r="L50" s="15"/>
      <c r="M50" s="15"/>
      <c r="N50" s="15"/>
      <c r="O50" s="15"/>
      <c r="P50" s="15"/>
      <c r="Q50" s="15"/>
      <c r="R50" s="15"/>
      <c r="S50" s="15"/>
      <c r="T50" s="15"/>
      <c r="U50" s="15"/>
      <c r="V50" s="24">
        <f t="shared" si="9"/>
        <v>0</v>
      </c>
    </row>
    <row r="51" ht="15.75" customHeight="1">
      <c r="A51" s="23" t="str">
        <f t="shared" si="8"/>
        <v>Andy Cowan</v>
      </c>
      <c r="B51" s="15"/>
      <c r="C51" s="15"/>
      <c r="D51" s="15"/>
      <c r="E51" s="15"/>
      <c r="F51" s="15"/>
      <c r="G51" s="15"/>
      <c r="H51" s="15"/>
      <c r="I51" s="15">
        <v>1.0</v>
      </c>
      <c r="J51" s="15"/>
      <c r="K51" s="15"/>
      <c r="L51" s="15"/>
      <c r="M51" s="15"/>
      <c r="N51" s="15"/>
      <c r="O51" s="15"/>
      <c r="P51" s="15"/>
      <c r="Q51" s="15"/>
      <c r="R51" s="15"/>
      <c r="S51" s="15"/>
      <c r="T51" s="15"/>
      <c r="U51" s="15"/>
      <c r="V51" s="24">
        <f t="shared" si="9"/>
        <v>1</v>
      </c>
    </row>
    <row r="52" ht="15.75" customHeight="1">
      <c r="A52" s="23" t="str">
        <f t="shared" si="8"/>
        <v>Ben Merrett</v>
      </c>
      <c r="B52" s="15"/>
      <c r="C52" s="15"/>
      <c r="D52" s="15"/>
      <c r="E52" s="15"/>
      <c r="F52" s="15"/>
      <c r="G52" s="15"/>
      <c r="H52" s="15"/>
      <c r="I52" s="15">
        <v>1.0</v>
      </c>
      <c r="J52" s="15"/>
      <c r="K52" s="15">
        <v>1.0</v>
      </c>
      <c r="L52" s="15"/>
      <c r="M52" s="15"/>
      <c r="N52" s="15"/>
      <c r="O52" s="15"/>
      <c r="P52" s="15"/>
      <c r="Q52" s="15"/>
      <c r="R52" s="15"/>
      <c r="S52" s="15"/>
      <c r="T52" s="15"/>
      <c r="U52" s="15"/>
      <c r="V52" s="24">
        <f t="shared" si="9"/>
        <v>2</v>
      </c>
    </row>
    <row r="53" ht="15.75" customHeight="1">
      <c r="A53" s="23" t="str">
        <f t="shared" si="8"/>
        <v>Callum McCarthy</v>
      </c>
      <c r="B53" s="15"/>
      <c r="C53" s="15"/>
      <c r="D53" s="15"/>
      <c r="E53" s="15"/>
      <c r="F53" s="15"/>
      <c r="G53" s="15"/>
      <c r="H53" s="15"/>
      <c r="I53" s="15">
        <v>2.0</v>
      </c>
      <c r="J53" s="15"/>
      <c r="K53" s="15"/>
      <c r="L53" s="15"/>
      <c r="M53" s="15"/>
      <c r="N53" s="15"/>
      <c r="O53" s="15"/>
      <c r="P53" s="15"/>
      <c r="Q53" s="15"/>
      <c r="R53" s="15"/>
      <c r="S53" s="15"/>
      <c r="T53" s="15"/>
      <c r="U53" s="15"/>
      <c r="V53" s="24">
        <f t="shared" si="9"/>
        <v>2</v>
      </c>
    </row>
    <row r="54" ht="15.75" customHeight="1">
      <c r="A54" s="23" t="str">
        <f t="shared" si="8"/>
        <v>Cecil Watson</v>
      </c>
      <c r="B54" s="15"/>
      <c r="C54" s="15"/>
      <c r="D54" s="15"/>
      <c r="E54" s="15"/>
      <c r="F54" s="15"/>
      <c r="G54" s="15"/>
      <c r="H54" s="15"/>
      <c r="I54" s="15"/>
      <c r="J54" s="15"/>
      <c r="K54" s="15"/>
      <c r="L54" s="15"/>
      <c r="M54" s="15"/>
      <c r="N54" s="15"/>
      <c r="O54" s="15"/>
      <c r="P54" s="15"/>
      <c r="Q54" s="15"/>
      <c r="R54" s="15"/>
      <c r="S54" s="15"/>
      <c r="T54" s="15"/>
      <c r="U54" s="15"/>
      <c r="V54" s="24">
        <f t="shared" si="9"/>
        <v>0</v>
      </c>
    </row>
    <row r="55" ht="15.75" customHeight="1">
      <c r="A55" s="23" t="str">
        <f t="shared" si="8"/>
        <v>Conall Templeman</v>
      </c>
      <c r="B55" s="15"/>
      <c r="C55" s="15"/>
      <c r="D55" s="15"/>
      <c r="E55" s="15"/>
      <c r="F55" s="15"/>
      <c r="G55" s="15"/>
      <c r="H55" s="15"/>
      <c r="I55" s="15"/>
      <c r="J55" s="15"/>
      <c r="K55" s="15"/>
      <c r="L55" s="15"/>
      <c r="M55" s="15"/>
      <c r="N55" s="15"/>
      <c r="O55" s="15"/>
      <c r="P55" s="15"/>
      <c r="Q55" s="15"/>
      <c r="R55" s="15"/>
      <c r="S55" s="15"/>
      <c r="T55" s="15"/>
      <c r="U55" s="15"/>
      <c r="V55" s="24">
        <f t="shared" si="9"/>
        <v>0</v>
      </c>
    </row>
    <row r="56" ht="15.75" customHeight="1">
      <c r="A56" s="23" t="str">
        <f t="shared" si="8"/>
        <v>Eddie Ringer</v>
      </c>
      <c r="B56" s="15"/>
      <c r="C56" s="15"/>
      <c r="D56" s="15"/>
      <c r="E56" s="15"/>
      <c r="F56" s="15"/>
      <c r="G56" s="15"/>
      <c r="H56" s="15"/>
      <c r="I56" s="15"/>
      <c r="J56" s="15"/>
      <c r="K56" s="15"/>
      <c r="L56" s="15"/>
      <c r="M56" s="15"/>
      <c r="N56" s="15"/>
      <c r="O56" s="15"/>
      <c r="P56" s="15"/>
      <c r="Q56" s="15"/>
      <c r="R56" s="15"/>
      <c r="S56" s="15"/>
      <c r="T56" s="15"/>
      <c r="U56" s="15"/>
      <c r="V56" s="24">
        <f t="shared" si="9"/>
        <v>0</v>
      </c>
    </row>
    <row r="57" ht="15.75" customHeight="1">
      <c r="A57" s="23" t="str">
        <f t="shared" si="8"/>
        <v>Finn Cawley</v>
      </c>
      <c r="B57" s="15"/>
      <c r="C57" s="15">
        <v>2.0</v>
      </c>
      <c r="D57" s="15"/>
      <c r="E57" s="15"/>
      <c r="F57" s="15"/>
      <c r="G57" s="15"/>
      <c r="H57" s="15"/>
      <c r="I57" s="15"/>
      <c r="J57" s="15"/>
      <c r="K57" s="15">
        <v>1.0</v>
      </c>
      <c r="L57" s="15"/>
      <c r="M57" s="15">
        <v>1.0</v>
      </c>
      <c r="N57" s="15"/>
      <c r="O57" s="15">
        <v>1.0</v>
      </c>
      <c r="P57" s="15"/>
      <c r="Q57" s="15"/>
      <c r="R57" s="15"/>
      <c r="S57" s="15"/>
      <c r="T57" s="15"/>
      <c r="U57" s="15"/>
      <c r="V57" s="24">
        <f t="shared" si="9"/>
        <v>5</v>
      </c>
    </row>
    <row r="58" ht="15.75" customHeight="1">
      <c r="A58" s="23" t="str">
        <f t="shared" si="8"/>
        <v>George Barbantan</v>
      </c>
      <c r="B58" s="15"/>
      <c r="C58" s="15"/>
      <c r="D58" s="15"/>
      <c r="E58" s="15"/>
      <c r="F58" s="15"/>
      <c r="G58" s="15"/>
      <c r="H58" s="15"/>
      <c r="I58" s="15">
        <v>1.0</v>
      </c>
      <c r="J58" s="15"/>
      <c r="K58" s="15"/>
      <c r="L58" s="15"/>
      <c r="M58" s="15"/>
      <c r="N58" s="15"/>
      <c r="O58" s="15"/>
      <c r="P58" s="15"/>
      <c r="Q58" s="15"/>
      <c r="R58" s="15"/>
      <c r="S58" s="15"/>
      <c r="T58" s="15"/>
      <c r="U58" s="15"/>
      <c r="V58" s="24">
        <f t="shared" si="9"/>
        <v>1</v>
      </c>
    </row>
    <row r="59" ht="15.75" customHeight="1">
      <c r="A59" s="23" t="str">
        <f t="shared" si="8"/>
        <v>Henry Linklater</v>
      </c>
      <c r="B59" s="15"/>
      <c r="C59" s="15"/>
      <c r="D59" s="15"/>
      <c r="E59" s="15"/>
      <c r="F59" s="15"/>
      <c r="G59" s="15"/>
      <c r="H59" s="15"/>
      <c r="I59" s="15"/>
      <c r="J59" s="15"/>
      <c r="K59" s="15"/>
      <c r="L59" s="15"/>
      <c r="M59" s="15"/>
      <c r="N59" s="15"/>
      <c r="O59" s="15"/>
      <c r="P59" s="15"/>
      <c r="Q59" s="15"/>
      <c r="R59" s="15"/>
      <c r="S59" s="15"/>
      <c r="T59" s="15"/>
      <c r="U59" s="15"/>
      <c r="V59" s="24">
        <f t="shared" si="9"/>
        <v>0</v>
      </c>
    </row>
    <row r="60" ht="15.75" customHeight="1">
      <c r="A60" s="23" t="str">
        <f t="shared" si="8"/>
        <v>Isaac Mond</v>
      </c>
      <c r="B60" s="15"/>
      <c r="C60" s="15"/>
      <c r="D60" s="15"/>
      <c r="E60" s="15"/>
      <c r="F60" s="15"/>
      <c r="G60" s="15"/>
      <c r="H60" s="15"/>
      <c r="I60" s="15">
        <v>1.0</v>
      </c>
      <c r="J60" s="15"/>
      <c r="K60" s="15"/>
      <c r="L60" s="15"/>
      <c r="M60" s="15"/>
      <c r="N60" s="15"/>
      <c r="O60" s="15"/>
      <c r="P60" s="15"/>
      <c r="Q60" s="15"/>
      <c r="R60" s="15"/>
      <c r="S60" s="15"/>
      <c r="T60" s="15"/>
      <c r="U60" s="15"/>
      <c r="V60" s="24">
        <f t="shared" si="9"/>
        <v>1</v>
      </c>
    </row>
    <row r="61" ht="15.75" customHeight="1">
      <c r="A61" s="23" t="str">
        <f t="shared" si="8"/>
        <v>Jake Harrison</v>
      </c>
      <c r="B61" s="15"/>
      <c r="C61" s="15"/>
      <c r="D61" s="15"/>
      <c r="E61" s="15"/>
      <c r="F61" s="15"/>
      <c r="G61" s="15"/>
      <c r="H61" s="15"/>
      <c r="I61" s="15"/>
      <c r="J61" s="15"/>
      <c r="K61" s="15"/>
      <c r="L61" s="15"/>
      <c r="M61" s="15"/>
      <c r="N61" s="15"/>
      <c r="O61" s="15"/>
      <c r="P61" s="15"/>
      <c r="Q61" s="15"/>
      <c r="R61" s="15"/>
      <c r="S61" s="15"/>
      <c r="T61" s="15"/>
      <c r="U61" s="15"/>
      <c r="V61" s="24">
        <f t="shared" si="9"/>
        <v>0</v>
      </c>
    </row>
    <row r="62" ht="15.75" customHeight="1">
      <c r="A62" s="23" t="str">
        <f t="shared" si="8"/>
        <v>Jake Ringer</v>
      </c>
      <c r="B62" s="15"/>
      <c r="C62" s="15"/>
      <c r="D62" s="15"/>
      <c r="E62" s="15"/>
      <c r="F62" s="15"/>
      <c r="G62" s="15"/>
      <c r="H62" s="15"/>
      <c r="I62" s="15"/>
      <c r="J62" s="15"/>
      <c r="K62" s="15"/>
      <c r="L62" s="15"/>
      <c r="M62" s="15"/>
      <c r="N62" s="15"/>
      <c r="O62" s="15"/>
      <c r="P62" s="15"/>
      <c r="Q62" s="15"/>
      <c r="R62" s="15"/>
      <c r="S62" s="15"/>
      <c r="T62" s="15"/>
      <c r="U62" s="15"/>
      <c r="V62" s="24">
        <f t="shared" si="9"/>
        <v>0</v>
      </c>
    </row>
    <row r="63" ht="15.75" customHeight="1">
      <c r="A63" s="23" t="str">
        <f t="shared" si="8"/>
        <v>Keshav Singh</v>
      </c>
      <c r="B63" s="15"/>
      <c r="C63" s="15"/>
      <c r="D63" s="15"/>
      <c r="E63" s="15"/>
      <c r="F63" s="15"/>
      <c r="G63" s="15"/>
      <c r="H63" s="15"/>
      <c r="I63" s="15"/>
      <c r="J63" s="15"/>
      <c r="K63" s="15"/>
      <c r="L63" s="15"/>
      <c r="M63" s="15"/>
      <c r="N63" s="15"/>
      <c r="O63" s="15"/>
      <c r="P63" s="15"/>
      <c r="Q63" s="15"/>
      <c r="R63" s="15"/>
      <c r="S63" s="15"/>
      <c r="T63" s="15"/>
      <c r="U63" s="15"/>
      <c r="V63" s="24">
        <f t="shared" si="9"/>
        <v>0</v>
      </c>
    </row>
    <row r="64" ht="15.75" customHeight="1">
      <c r="A64" s="23" t="str">
        <f t="shared" si="8"/>
        <v>Mark Pellowe</v>
      </c>
      <c r="B64" s="15"/>
      <c r="C64" s="15"/>
      <c r="D64" s="15"/>
      <c r="E64" s="15"/>
      <c r="F64" s="15"/>
      <c r="G64" s="15"/>
      <c r="H64" s="15"/>
      <c r="I64" s="15"/>
      <c r="J64" s="15"/>
      <c r="K64" s="15"/>
      <c r="L64" s="15"/>
      <c r="M64" s="15"/>
      <c r="N64" s="15"/>
      <c r="O64" s="15"/>
      <c r="P64" s="15"/>
      <c r="Q64" s="15"/>
      <c r="R64" s="15"/>
      <c r="S64" s="15"/>
      <c r="T64" s="15"/>
      <c r="U64" s="15"/>
      <c r="V64" s="24">
        <f t="shared" si="9"/>
        <v>0</v>
      </c>
    </row>
    <row r="65" ht="15.75" customHeight="1">
      <c r="A65" s="23" t="str">
        <f t="shared" si="8"/>
        <v>Max Cobain</v>
      </c>
      <c r="B65" s="15"/>
      <c r="C65" s="15"/>
      <c r="D65" s="15"/>
      <c r="E65" s="15"/>
      <c r="F65" s="15">
        <v>2.0</v>
      </c>
      <c r="G65" s="15"/>
      <c r="H65" s="15"/>
      <c r="I65" s="15"/>
      <c r="J65" s="15">
        <v>2.0</v>
      </c>
      <c r="K65" s="15"/>
      <c r="L65" s="15"/>
      <c r="M65" s="15">
        <v>1.0</v>
      </c>
      <c r="N65" s="15"/>
      <c r="O65" s="15"/>
      <c r="P65" s="15"/>
      <c r="Q65" s="15"/>
      <c r="R65" s="15"/>
      <c r="S65" s="15"/>
      <c r="T65" s="15"/>
      <c r="U65" s="15"/>
      <c r="V65" s="24">
        <f t="shared" si="9"/>
        <v>5</v>
      </c>
    </row>
    <row r="66" ht="15.75" customHeight="1">
      <c r="A66" s="23" t="str">
        <f t="shared" si="8"/>
        <v>Neeraj Radia</v>
      </c>
      <c r="B66" s="15"/>
      <c r="C66" s="15"/>
      <c r="D66" s="15"/>
      <c r="E66" s="15"/>
      <c r="F66" s="15"/>
      <c r="G66" s="15">
        <v>1.0</v>
      </c>
      <c r="H66" s="15"/>
      <c r="I66" s="15">
        <v>2.0</v>
      </c>
      <c r="J66" s="15">
        <v>1.0</v>
      </c>
      <c r="K66" s="15"/>
      <c r="L66" s="15"/>
      <c r="M66" s="15"/>
      <c r="N66" s="15"/>
      <c r="O66" s="15"/>
      <c r="P66" s="15"/>
      <c r="Q66" s="15"/>
      <c r="R66" s="15"/>
      <c r="S66" s="15"/>
      <c r="T66" s="15"/>
      <c r="U66" s="15"/>
      <c r="V66" s="24">
        <f t="shared" si="9"/>
        <v>4</v>
      </c>
    </row>
    <row r="67" ht="15.75" customHeight="1">
      <c r="A67" s="23" t="str">
        <f t="shared" si="8"/>
        <v>Phil Knott</v>
      </c>
      <c r="B67" s="15"/>
      <c r="C67" s="15"/>
      <c r="D67" s="15">
        <v>1.0</v>
      </c>
      <c r="E67" s="15">
        <v>1.0</v>
      </c>
      <c r="F67" s="15"/>
      <c r="G67" s="15"/>
      <c r="H67" s="15"/>
      <c r="I67" s="15">
        <v>2.0</v>
      </c>
      <c r="J67" s="15"/>
      <c r="K67" s="15">
        <v>1.0</v>
      </c>
      <c r="L67" s="15"/>
      <c r="M67" s="15"/>
      <c r="N67" s="15">
        <v>2.0</v>
      </c>
      <c r="O67" s="15"/>
      <c r="P67" s="15"/>
      <c r="Q67" s="15"/>
      <c r="R67" s="15"/>
      <c r="S67" s="15"/>
      <c r="T67" s="15"/>
      <c r="U67" s="15"/>
      <c r="V67" s="24">
        <f t="shared" si="9"/>
        <v>7</v>
      </c>
    </row>
    <row r="68" ht="15.75" customHeight="1">
      <c r="A68" s="23" t="str">
        <f t="shared" si="8"/>
        <v>Robin</v>
      </c>
      <c r="B68" s="15"/>
      <c r="C68" s="15"/>
      <c r="D68" s="15"/>
      <c r="E68" s="15"/>
      <c r="F68" s="15"/>
      <c r="G68" s="15"/>
      <c r="H68" s="15"/>
      <c r="I68" s="15"/>
      <c r="J68" s="15"/>
      <c r="K68" s="15"/>
      <c r="L68" s="15"/>
      <c r="M68" s="15"/>
      <c r="N68" s="15"/>
      <c r="O68" s="15"/>
      <c r="P68" s="15"/>
      <c r="Q68" s="15"/>
      <c r="R68" s="15"/>
      <c r="S68" s="15"/>
      <c r="T68" s="15"/>
      <c r="U68" s="15"/>
      <c r="V68" s="24">
        <f t="shared" si="9"/>
        <v>0</v>
      </c>
    </row>
    <row r="69" ht="15.75" customHeight="1">
      <c r="A69" s="23" t="str">
        <f t="shared" si="8"/>
        <v>Sam Holt</v>
      </c>
      <c r="B69" s="15"/>
      <c r="C69" s="15"/>
      <c r="D69" s="15"/>
      <c r="E69" s="15"/>
      <c r="F69" s="15"/>
      <c r="G69" s="15"/>
      <c r="H69" s="15"/>
      <c r="I69" s="15"/>
      <c r="J69" s="15"/>
      <c r="K69" s="15"/>
      <c r="L69" s="15"/>
      <c r="M69" s="15"/>
      <c r="N69" s="15"/>
      <c r="O69" s="15"/>
      <c r="P69" s="15"/>
      <c r="Q69" s="15"/>
      <c r="R69" s="15"/>
      <c r="S69" s="15"/>
      <c r="T69" s="15"/>
      <c r="U69" s="15"/>
      <c r="V69" s="24">
        <f t="shared" si="9"/>
        <v>0</v>
      </c>
    </row>
    <row r="70" ht="15.75" customHeight="1">
      <c r="A70" s="23" t="str">
        <f t="shared" si="8"/>
        <v>Seb Burgess</v>
      </c>
      <c r="B70" s="15"/>
      <c r="C70" s="15"/>
      <c r="D70" s="15"/>
      <c r="E70" s="15">
        <v>1.0</v>
      </c>
      <c r="F70" s="15">
        <v>1.0</v>
      </c>
      <c r="G70" s="15">
        <v>1.0</v>
      </c>
      <c r="H70" s="15">
        <v>1.0</v>
      </c>
      <c r="I70" s="15"/>
      <c r="J70" s="15"/>
      <c r="K70" s="15"/>
      <c r="L70" s="15">
        <v>1.0</v>
      </c>
      <c r="M70" s="15"/>
      <c r="N70" s="15">
        <v>1.0</v>
      </c>
      <c r="O70" s="15"/>
      <c r="P70" s="15"/>
      <c r="Q70" s="15"/>
      <c r="R70" s="15"/>
      <c r="S70" s="15"/>
      <c r="T70" s="15"/>
      <c r="U70" s="15"/>
      <c r="V70" s="24">
        <f t="shared" si="9"/>
        <v>6</v>
      </c>
    </row>
    <row r="71" ht="15.75" customHeight="1">
      <c r="A71" s="23" t="str">
        <f t="shared" si="8"/>
        <v/>
      </c>
      <c r="B71" s="15"/>
      <c r="C71" s="15"/>
      <c r="D71" s="15"/>
      <c r="E71" s="15"/>
      <c r="F71" s="15"/>
      <c r="G71" s="15"/>
      <c r="H71" s="15"/>
      <c r="I71" s="15"/>
      <c r="J71" s="15"/>
      <c r="K71" s="15"/>
      <c r="L71" s="15"/>
      <c r="M71" s="15"/>
      <c r="N71" s="15"/>
      <c r="O71" s="15"/>
      <c r="P71" s="15"/>
      <c r="Q71" s="15"/>
      <c r="R71" s="15"/>
      <c r="S71" s="15"/>
      <c r="T71" s="15"/>
      <c r="U71" s="15"/>
      <c r="V71" s="24">
        <f t="shared" si="9"/>
        <v>0</v>
      </c>
    </row>
    <row r="72" ht="15.75" customHeight="1">
      <c r="A72" s="23" t="str">
        <f t="shared" si="8"/>
        <v/>
      </c>
      <c r="B72" s="15"/>
      <c r="C72" s="15"/>
      <c r="D72" s="15"/>
      <c r="E72" s="15"/>
      <c r="F72" s="15"/>
      <c r="G72" s="15"/>
      <c r="H72" s="15"/>
      <c r="I72" s="15"/>
      <c r="J72" s="15"/>
      <c r="K72" s="15"/>
      <c r="L72" s="15"/>
      <c r="M72" s="15"/>
      <c r="N72" s="15"/>
      <c r="O72" s="15"/>
      <c r="P72" s="15"/>
      <c r="Q72" s="15"/>
      <c r="R72" s="15"/>
      <c r="S72" s="15"/>
      <c r="T72" s="15"/>
      <c r="U72" s="15"/>
      <c r="V72" s="24">
        <f t="shared" si="9"/>
        <v>0</v>
      </c>
    </row>
    <row r="73" ht="15.75" customHeight="1">
      <c r="A73" s="23" t="str">
        <f t="shared" si="8"/>
        <v/>
      </c>
      <c r="B73" s="15"/>
      <c r="C73" s="15"/>
      <c r="D73" s="15"/>
      <c r="E73" s="15"/>
      <c r="F73" s="15"/>
      <c r="G73" s="15"/>
      <c r="H73" s="15"/>
      <c r="I73" s="15"/>
      <c r="J73" s="15"/>
      <c r="K73" s="15"/>
      <c r="L73" s="15"/>
      <c r="M73" s="15"/>
      <c r="N73" s="15"/>
      <c r="O73" s="15"/>
      <c r="P73" s="15"/>
      <c r="Q73" s="15"/>
      <c r="R73" s="15"/>
      <c r="S73" s="15"/>
      <c r="T73" s="15"/>
      <c r="U73" s="15"/>
      <c r="V73" s="24">
        <f t="shared" si="9"/>
        <v>0</v>
      </c>
    </row>
    <row r="74" ht="15.75" customHeight="1">
      <c r="A74" s="23" t="str">
        <f t="shared" si="8"/>
        <v/>
      </c>
      <c r="B74" s="15"/>
      <c r="C74" s="15"/>
      <c r="D74" s="15"/>
      <c r="E74" s="15"/>
      <c r="F74" s="15"/>
      <c r="G74" s="15"/>
      <c r="H74" s="15"/>
      <c r="I74" s="15"/>
      <c r="J74" s="15"/>
      <c r="K74" s="15"/>
      <c r="L74" s="15"/>
      <c r="M74" s="15"/>
      <c r="N74" s="15"/>
      <c r="O74" s="15"/>
      <c r="P74" s="15"/>
      <c r="Q74" s="15"/>
      <c r="R74" s="15"/>
      <c r="S74" s="15"/>
      <c r="T74" s="15"/>
      <c r="U74" s="15"/>
      <c r="V74" s="24">
        <f t="shared" si="9"/>
        <v>0</v>
      </c>
    </row>
    <row r="75" ht="15.75" customHeight="1">
      <c r="A75" s="23" t="str">
        <f t="shared" si="8"/>
        <v/>
      </c>
      <c r="B75" s="15"/>
      <c r="C75" s="15"/>
      <c r="D75" s="15"/>
      <c r="E75" s="15"/>
      <c r="F75" s="15"/>
      <c r="G75" s="15"/>
      <c r="H75" s="15"/>
      <c r="I75" s="15"/>
      <c r="J75" s="15"/>
      <c r="K75" s="15"/>
      <c r="L75" s="15"/>
      <c r="M75" s="15"/>
      <c r="N75" s="15"/>
      <c r="O75" s="15"/>
      <c r="P75" s="15"/>
      <c r="Q75" s="15"/>
      <c r="R75" s="15"/>
      <c r="S75" s="15"/>
      <c r="T75" s="15"/>
      <c r="U75" s="15"/>
      <c r="V75" s="24">
        <f t="shared" si="9"/>
        <v>0</v>
      </c>
    </row>
    <row r="76" ht="15.75" customHeight="1">
      <c r="A76" s="23" t="str">
        <f t="shared" si="8"/>
        <v/>
      </c>
      <c r="B76" s="15"/>
      <c r="C76" s="15"/>
      <c r="D76" s="15"/>
      <c r="E76" s="15"/>
      <c r="F76" s="15"/>
      <c r="G76" s="15"/>
      <c r="H76" s="15"/>
      <c r="I76" s="15"/>
      <c r="J76" s="15"/>
      <c r="K76" s="15"/>
      <c r="L76" s="15"/>
      <c r="M76" s="15"/>
      <c r="N76" s="15"/>
      <c r="O76" s="15"/>
      <c r="P76" s="15"/>
      <c r="Q76" s="15"/>
      <c r="R76" s="15"/>
      <c r="S76" s="15"/>
      <c r="T76" s="15"/>
      <c r="U76" s="15"/>
      <c r="V76" s="24">
        <f t="shared" si="9"/>
        <v>0</v>
      </c>
    </row>
    <row r="77" ht="15.75" customHeight="1">
      <c r="A77" s="7" t="s">
        <v>144</v>
      </c>
      <c r="V77" s="24">
        <f>SUM(V49:V76)</f>
        <v>34</v>
      </c>
    </row>
    <row r="78" ht="15.75" customHeight="1"/>
    <row r="79" ht="15.75" customHeight="1">
      <c r="A79" s="21" t="s">
        <v>148</v>
      </c>
      <c r="B79" s="22" t="s">
        <v>41</v>
      </c>
      <c r="C79" s="22" t="s">
        <v>42</v>
      </c>
      <c r="D79" s="22" t="s">
        <v>43</v>
      </c>
      <c r="E79" s="22" t="s">
        <v>44</v>
      </c>
      <c r="F79" s="22" t="s">
        <v>45</v>
      </c>
      <c r="G79" s="22" t="s">
        <v>46</v>
      </c>
      <c r="H79" s="22" t="s">
        <v>47</v>
      </c>
      <c r="I79" s="22" t="s">
        <v>48</v>
      </c>
      <c r="J79" s="22" t="s">
        <v>49</v>
      </c>
      <c r="K79" s="22" t="s">
        <v>50</v>
      </c>
      <c r="L79" s="22" t="s">
        <v>51</v>
      </c>
      <c r="M79" s="22" t="s">
        <v>52</v>
      </c>
      <c r="N79" s="22" t="s">
        <v>53</v>
      </c>
      <c r="O79" s="22" t="s">
        <v>54</v>
      </c>
      <c r="P79" s="22" t="s">
        <v>55</v>
      </c>
      <c r="Q79" s="22" t="s">
        <v>56</v>
      </c>
      <c r="R79" s="22" t="s">
        <v>57</v>
      </c>
      <c r="S79" s="22" t="s">
        <v>58</v>
      </c>
      <c r="T79" s="22" t="s">
        <v>59</v>
      </c>
      <c r="U79" s="22" t="s">
        <v>60</v>
      </c>
      <c r="V79" s="22" t="s">
        <v>149</v>
      </c>
    </row>
    <row r="80" ht="15.75" customHeight="1">
      <c r="A80" s="23" t="str">
        <f t="shared" ref="A80:A107" si="10">IF($A18="","",$A18)</f>
        <v>Ahmed</v>
      </c>
      <c r="B80" s="15"/>
      <c r="C80" s="15"/>
      <c r="D80" s="15"/>
      <c r="E80" s="15"/>
      <c r="F80" s="15"/>
      <c r="G80" s="15"/>
      <c r="H80" s="15"/>
      <c r="I80" s="15"/>
      <c r="J80" s="15"/>
      <c r="K80" s="15"/>
      <c r="L80" s="15"/>
      <c r="M80" s="15"/>
      <c r="N80" s="15"/>
      <c r="O80" s="15"/>
      <c r="P80" s="15"/>
      <c r="Q80" s="15"/>
      <c r="R80" s="15"/>
      <c r="S80" s="15"/>
      <c r="T80" s="15"/>
      <c r="U80" s="15"/>
      <c r="V80" s="24">
        <f t="shared" ref="V80:V107" si="11">SUMPRODUCT(B80:U80*($B$16:$U$16=""))</f>
        <v>0</v>
      </c>
    </row>
    <row r="81" ht="15.75" customHeight="1">
      <c r="A81" s="23" t="str">
        <f t="shared" si="10"/>
        <v>Alex Ruben</v>
      </c>
      <c r="B81" s="15"/>
      <c r="C81" s="15"/>
      <c r="D81" s="15"/>
      <c r="E81" s="15"/>
      <c r="F81" s="15"/>
      <c r="G81" s="15"/>
      <c r="H81" s="15"/>
      <c r="I81" s="15"/>
      <c r="J81" s="15"/>
      <c r="K81" s="15"/>
      <c r="L81" s="15"/>
      <c r="M81" s="15"/>
      <c r="N81" s="15"/>
      <c r="O81" s="15"/>
      <c r="P81" s="15"/>
      <c r="Q81" s="15"/>
      <c r="R81" s="15"/>
      <c r="S81" s="15"/>
      <c r="T81" s="15"/>
      <c r="U81" s="15"/>
      <c r="V81" s="24">
        <f t="shared" si="11"/>
        <v>0</v>
      </c>
    </row>
    <row r="82" ht="15.75" customHeight="1">
      <c r="A82" s="23" t="str">
        <f t="shared" si="10"/>
        <v>Andy Cowan</v>
      </c>
      <c r="B82" s="15"/>
      <c r="C82" s="15"/>
      <c r="D82" s="15"/>
      <c r="E82" s="15"/>
      <c r="F82" s="15"/>
      <c r="G82" s="15"/>
      <c r="H82" s="15"/>
      <c r="I82" s="15"/>
      <c r="J82" s="15"/>
      <c r="K82" s="15"/>
      <c r="L82" s="15"/>
      <c r="M82" s="15"/>
      <c r="N82" s="15"/>
      <c r="O82" s="15"/>
      <c r="P82" s="15"/>
      <c r="Q82" s="15"/>
      <c r="R82" s="15"/>
      <c r="S82" s="15"/>
      <c r="T82" s="15"/>
      <c r="U82" s="15"/>
      <c r="V82" s="24">
        <f t="shared" si="11"/>
        <v>0</v>
      </c>
    </row>
    <row r="83" ht="15.75" customHeight="1">
      <c r="A83" s="23" t="str">
        <f t="shared" si="10"/>
        <v>Ben Merrett</v>
      </c>
      <c r="B83" s="15"/>
      <c r="C83" s="15"/>
      <c r="D83" s="15"/>
      <c r="E83" s="15"/>
      <c r="F83" s="15"/>
      <c r="G83" s="15"/>
      <c r="H83" s="15"/>
      <c r="I83" s="15"/>
      <c r="J83" s="15"/>
      <c r="K83" s="15"/>
      <c r="L83" s="15"/>
      <c r="M83" s="15"/>
      <c r="N83" s="15"/>
      <c r="O83" s="15"/>
      <c r="P83" s="15"/>
      <c r="Q83" s="15"/>
      <c r="R83" s="15"/>
      <c r="S83" s="15"/>
      <c r="T83" s="15"/>
      <c r="U83" s="15"/>
      <c r="V83" s="24">
        <f t="shared" si="11"/>
        <v>0</v>
      </c>
    </row>
    <row r="84" ht="15.75" customHeight="1">
      <c r="A84" s="23" t="str">
        <f t="shared" si="10"/>
        <v>Callum McCarthy</v>
      </c>
      <c r="B84" s="15"/>
      <c r="C84" s="15"/>
      <c r="D84" s="15"/>
      <c r="E84" s="15"/>
      <c r="F84" s="15"/>
      <c r="G84" s="15"/>
      <c r="H84" s="15"/>
      <c r="I84" s="15"/>
      <c r="J84" s="15"/>
      <c r="K84" s="15"/>
      <c r="L84" s="15"/>
      <c r="M84" s="15"/>
      <c r="N84" s="15"/>
      <c r="O84" s="15"/>
      <c r="P84" s="15"/>
      <c r="Q84" s="15"/>
      <c r="R84" s="15"/>
      <c r="S84" s="15"/>
      <c r="T84" s="15"/>
      <c r="U84" s="15"/>
      <c r="V84" s="24">
        <f t="shared" si="11"/>
        <v>0</v>
      </c>
    </row>
    <row r="85" ht="15.75" customHeight="1">
      <c r="A85" s="23" t="str">
        <f t="shared" si="10"/>
        <v>Cecil Watson</v>
      </c>
      <c r="B85" s="15"/>
      <c r="C85" s="15"/>
      <c r="D85" s="15"/>
      <c r="E85" s="15"/>
      <c r="F85" s="15"/>
      <c r="G85" s="15"/>
      <c r="H85" s="15"/>
      <c r="I85" s="15"/>
      <c r="J85" s="15"/>
      <c r="K85" s="15"/>
      <c r="L85" s="15"/>
      <c r="M85" s="15"/>
      <c r="N85" s="15"/>
      <c r="O85" s="15"/>
      <c r="P85" s="15"/>
      <c r="Q85" s="15"/>
      <c r="R85" s="15"/>
      <c r="S85" s="15"/>
      <c r="T85" s="15"/>
      <c r="U85" s="15"/>
      <c r="V85" s="24">
        <f t="shared" si="11"/>
        <v>0</v>
      </c>
    </row>
    <row r="86" ht="15.75" customHeight="1">
      <c r="A86" s="23" t="str">
        <f t="shared" si="10"/>
        <v>Conall Templeman</v>
      </c>
      <c r="B86" s="15"/>
      <c r="C86" s="15"/>
      <c r="D86" s="15"/>
      <c r="E86" s="15"/>
      <c r="F86" s="15"/>
      <c r="G86" s="15"/>
      <c r="H86" s="15"/>
      <c r="I86" s="15"/>
      <c r="J86" s="15"/>
      <c r="K86" s="15"/>
      <c r="L86" s="15"/>
      <c r="M86" s="15"/>
      <c r="N86" s="15"/>
      <c r="O86" s="15"/>
      <c r="P86" s="15"/>
      <c r="Q86" s="15"/>
      <c r="R86" s="15"/>
      <c r="S86" s="15"/>
      <c r="T86" s="15"/>
      <c r="U86" s="15"/>
      <c r="V86" s="24">
        <f t="shared" si="11"/>
        <v>0</v>
      </c>
    </row>
    <row r="87" ht="15.75" customHeight="1">
      <c r="A87" s="23" t="str">
        <f t="shared" si="10"/>
        <v>Eddie Ringer</v>
      </c>
      <c r="B87" s="15"/>
      <c r="C87" s="15"/>
      <c r="D87" s="15"/>
      <c r="E87" s="15"/>
      <c r="F87" s="15"/>
      <c r="G87" s="15"/>
      <c r="H87" s="15"/>
      <c r="I87" s="15"/>
      <c r="J87" s="15"/>
      <c r="K87" s="15"/>
      <c r="L87" s="15"/>
      <c r="M87" s="15"/>
      <c r="N87" s="15"/>
      <c r="O87" s="15"/>
      <c r="P87" s="15"/>
      <c r="Q87" s="15"/>
      <c r="R87" s="15"/>
      <c r="S87" s="15"/>
      <c r="T87" s="15"/>
      <c r="U87" s="15"/>
      <c r="V87" s="24">
        <f t="shared" si="11"/>
        <v>0</v>
      </c>
    </row>
    <row r="88" ht="15.75" customHeight="1">
      <c r="A88" s="23" t="str">
        <f t="shared" si="10"/>
        <v>Finn Cawley</v>
      </c>
      <c r="B88" s="15"/>
      <c r="C88" s="15"/>
      <c r="D88" s="15"/>
      <c r="E88" s="15"/>
      <c r="F88" s="15"/>
      <c r="G88" s="15"/>
      <c r="H88" s="15"/>
      <c r="I88" s="15"/>
      <c r="J88" s="15"/>
      <c r="K88" s="15"/>
      <c r="L88" s="15"/>
      <c r="M88" s="15"/>
      <c r="N88" s="15"/>
      <c r="O88" s="15"/>
      <c r="P88" s="15"/>
      <c r="Q88" s="15"/>
      <c r="R88" s="15"/>
      <c r="S88" s="15"/>
      <c r="T88" s="15"/>
      <c r="U88" s="15"/>
      <c r="V88" s="24">
        <f t="shared" si="11"/>
        <v>0</v>
      </c>
    </row>
    <row r="89" ht="15.75" customHeight="1">
      <c r="A89" s="23" t="str">
        <f t="shared" si="10"/>
        <v>George Barbantan</v>
      </c>
      <c r="B89" s="15"/>
      <c r="C89" s="15"/>
      <c r="D89" s="15"/>
      <c r="E89" s="15"/>
      <c r="F89" s="15"/>
      <c r="G89" s="15"/>
      <c r="H89" s="15"/>
      <c r="I89" s="15"/>
      <c r="J89" s="15"/>
      <c r="K89" s="15"/>
      <c r="L89" s="15"/>
      <c r="M89" s="15"/>
      <c r="N89" s="15"/>
      <c r="O89" s="15"/>
      <c r="P89" s="15"/>
      <c r="Q89" s="15"/>
      <c r="R89" s="15"/>
      <c r="S89" s="15"/>
      <c r="T89" s="15"/>
      <c r="U89" s="15"/>
      <c r="V89" s="24">
        <f t="shared" si="11"/>
        <v>0</v>
      </c>
    </row>
    <row r="90" ht="15.75" customHeight="1">
      <c r="A90" s="23" t="str">
        <f t="shared" si="10"/>
        <v>Henry Linklater</v>
      </c>
      <c r="B90" s="15"/>
      <c r="C90" s="15"/>
      <c r="D90" s="15"/>
      <c r="E90" s="15"/>
      <c r="F90" s="15"/>
      <c r="G90" s="15"/>
      <c r="H90" s="15"/>
      <c r="I90" s="15"/>
      <c r="J90" s="15"/>
      <c r="K90" s="15"/>
      <c r="L90" s="15"/>
      <c r="M90" s="15"/>
      <c r="N90" s="15"/>
      <c r="O90" s="15"/>
      <c r="P90" s="15"/>
      <c r="Q90" s="15"/>
      <c r="R90" s="15"/>
      <c r="S90" s="15"/>
      <c r="T90" s="15"/>
      <c r="U90" s="15"/>
      <c r="V90" s="24">
        <f t="shared" si="11"/>
        <v>0</v>
      </c>
    </row>
    <row r="91" ht="15.75" customHeight="1">
      <c r="A91" s="23" t="str">
        <f t="shared" si="10"/>
        <v>Isaac Mond</v>
      </c>
      <c r="B91" s="15"/>
      <c r="C91" s="15"/>
      <c r="D91" s="15"/>
      <c r="E91" s="15"/>
      <c r="F91" s="15"/>
      <c r="G91" s="15"/>
      <c r="H91" s="15"/>
      <c r="I91" s="15"/>
      <c r="J91" s="15"/>
      <c r="K91" s="15"/>
      <c r="L91" s="15"/>
      <c r="M91" s="15"/>
      <c r="N91" s="15"/>
      <c r="O91" s="15"/>
      <c r="P91" s="15"/>
      <c r="Q91" s="15"/>
      <c r="R91" s="15"/>
      <c r="S91" s="15"/>
      <c r="T91" s="15"/>
      <c r="U91" s="15"/>
      <c r="V91" s="24">
        <f t="shared" si="11"/>
        <v>0</v>
      </c>
    </row>
    <row r="92" ht="15.75" customHeight="1">
      <c r="A92" s="23" t="str">
        <f t="shared" si="10"/>
        <v>Jake Harrison</v>
      </c>
      <c r="B92" s="15"/>
      <c r="C92" s="15"/>
      <c r="D92" s="15"/>
      <c r="E92" s="15"/>
      <c r="F92" s="15"/>
      <c r="G92" s="15"/>
      <c r="H92" s="15"/>
      <c r="I92" s="15"/>
      <c r="J92" s="15"/>
      <c r="K92" s="15"/>
      <c r="L92" s="15"/>
      <c r="M92" s="15"/>
      <c r="N92" s="15"/>
      <c r="O92" s="15"/>
      <c r="P92" s="15"/>
      <c r="Q92" s="15"/>
      <c r="R92" s="15"/>
      <c r="S92" s="15"/>
      <c r="T92" s="15"/>
      <c r="U92" s="15"/>
      <c r="V92" s="24">
        <f t="shared" si="11"/>
        <v>0</v>
      </c>
    </row>
    <row r="93" ht="15.75" customHeight="1">
      <c r="A93" s="23" t="str">
        <f t="shared" si="10"/>
        <v>Jake Ringer</v>
      </c>
      <c r="B93" s="15"/>
      <c r="C93" s="15"/>
      <c r="D93" s="15"/>
      <c r="E93" s="15"/>
      <c r="F93" s="15"/>
      <c r="G93" s="15"/>
      <c r="H93" s="15"/>
      <c r="I93" s="15"/>
      <c r="J93" s="15"/>
      <c r="K93" s="15"/>
      <c r="L93" s="15"/>
      <c r="M93" s="15"/>
      <c r="N93" s="15"/>
      <c r="O93" s="15"/>
      <c r="P93" s="15"/>
      <c r="Q93" s="15"/>
      <c r="R93" s="15"/>
      <c r="S93" s="15"/>
      <c r="T93" s="15"/>
      <c r="U93" s="15"/>
      <c r="V93" s="24">
        <f t="shared" si="11"/>
        <v>0</v>
      </c>
    </row>
    <row r="94" ht="15.75" customHeight="1">
      <c r="A94" s="23" t="str">
        <f t="shared" si="10"/>
        <v>Keshav Singh</v>
      </c>
      <c r="B94" s="15"/>
      <c r="C94" s="15"/>
      <c r="D94" s="15"/>
      <c r="E94" s="15"/>
      <c r="F94" s="15"/>
      <c r="G94" s="15"/>
      <c r="H94" s="15"/>
      <c r="I94" s="15"/>
      <c r="J94" s="15"/>
      <c r="K94" s="15"/>
      <c r="L94" s="15"/>
      <c r="M94" s="15"/>
      <c r="N94" s="15"/>
      <c r="O94" s="15"/>
      <c r="P94" s="15"/>
      <c r="Q94" s="15"/>
      <c r="R94" s="15"/>
      <c r="S94" s="15"/>
      <c r="T94" s="15"/>
      <c r="U94" s="15"/>
      <c r="V94" s="24">
        <f t="shared" si="11"/>
        <v>0</v>
      </c>
    </row>
    <row r="95" ht="15.75" customHeight="1">
      <c r="A95" s="23" t="str">
        <f t="shared" si="10"/>
        <v>Mark Pellowe</v>
      </c>
      <c r="B95" s="15"/>
      <c r="C95" s="15"/>
      <c r="D95" s="15"/>
      <c r="E95" s="15"/>
      <c r="F95" s="15"/>
      <c r="G95" s="15"/>
      <c r="H95" s="15"/>
      <c r="I95" s="15"/>
      <c r="J95" s="15"/>
      <c r="K95" s="15"/>
      <c r="L95" s="15"/>
      <c r="M95" s="15"/>
      <c r="N95" s="15"/>
      <c r="O95" s="15"/>
      <c r="P95" s="15"/>
      <c r="Q95" s="15"/>
      <c r="R95" s="15"/>
      <c r="S95" s="15"/>
      <c r="T95" s="15"/>
      <c r="U95" s="15"/>
      <c r="V95" s="24">
        <f t="shared" si="11"/>
        <v>0</v>
      </c>
    </row>
    <row r="96" ht="15.75" customHeight="1">
      <c r="A96" s="23" t="str">
        <f t="shared" si="10"/>
        <v>Max Cobain</v>
      </c>
      <c r="B96" s="15"/>
      <c r="C96" s="15"/>
      <c r="D96" s="15"/>
      <c r="E96" s="15"/>
      <c r="F96" s="15"/>
      <c r="G96" s="15"/>
      <c r="H96" s="15"/>
      <c r="I96" s="15"/>
      <c r="J96" s="15"/>
      <c r="K96" s="15"/>
      <c r="L96" s="15"/>
      <c r="M96" s="15"/>
      <c r="N96" s="15"/>
      <c r="O96" s="15"/>
      <c r="P96" s="15"/>
      <c r="Q96" s="15"/>
      <c r="R96" s="15"/>
      <c r="S96" s="15"/>
      <c r="T96" s="15"/>
      <c r="U96" s="15"/>
      <c r="V96" s="24">
        <f t="shared" si="11"/>
        <v>0</v>
      </c>
    </row>
    <row r="97" ht="15.75" customHeight="1">
      <c r="A97" s="23" t="str">
        <f t="shared" si="10"/>
        <v>Neeraj Radia</v>
      </c>
      <c r="B97" s="15"/>
      <c r="C97" s="15"/>
      <c r="D97" s="15"/>
      <c r="E97" s="15"/>
      <c r="F97" s="15"/>
      <c r="G97" s="15"/>
      <c r="H97" s="15"/>
      <c r="I97" s="15"/>
      <c r="J97" s="15"/>
      <c r="K97" s="15"/>
      <c r="L97" s="15"/>
      <c r="M97" s="15"/>
      <c r="N97" s="15"/>
      <c r="O97" s="15"/>
      <c r="P97" s="15"/>
      <c r="Q97" s="15"/>
      <c r="R97" s="15"/>
      <c r="S97" s="15"/>
      <c r="T97" s="15"/>
      <c r="U97" s="15"/>
      <c r="V97" s="24">
        <f t="shared" si="11"/>
        <v>0</v>
      </c>
    </row>
    <row r="98" ht="15.75" customHeight="1">
      <c r="A98" s="23" t="str">
        <f t="shared" si="10"/>
        <v>Phil Knott</v>
      </c>
      <c r="B98" s="15"/>
      <c r="C98" s="15"/>
      <c r="D98" s="15"/>
      <c r="E98" s="15"/>
      <c r="F98" s="15"/>
      <c r="G98" s="15"/>
      <c r="H98" s="15"/>
      <c r="I98" s="15"/>
      <c r="J98" s="15"/>
      <c r="K98" s="15"/>
      <c r="L98" s="15"/>
      <c r="M98" s="15"/>
      <c r="N98" s="15"/>
      <c r="O98" s="15"/>
      <c r="P98" s="15"/>
      <c r="Q98" s="15"/>
      <c r="R98" s="15"/>
      <c r="S98" s="15"/>
      <c r="T98" s="15"/>
      <c r="U98" s="15"/>
      <c r="V98" s="24">
        <f t="shared" si="11"/>
        <v>0</v>
      </c>
    </row>
    <row r="99" ht="15.75" customHeight="1">
      <c r="A99" s="23" t="str">
        <f t="shared" si="10"/>
        <v>Robin</v>
      </c>
      <c r="B99" s="15"/>
      <c r="C99" s="15"/>
      <c r="D99" s="15"/>
      <c r="E99" s="15"/>
      <c r="F99" s="15"/>
      <c r="G99" s="15"/>
      <c r="H99" s="15"/>
      <c r="I99" s="15"/>
      <c r="J99" s="15"/>
      <c r="K99" s="15"/>
      <c r="L99" s="15"/>
      <c r="M99" s="15"/>
      <c r="N99" s="15"/>
      <c r="O99" s="15"/>
      <c r="P99" s="15"/>
      <c r="Q99" s="15"/>
      <c r="R99" s="15"/>
      <c r="S99" s="15"/>
      <c r="T99" s="15"/>
      <c r="U99" s="15"/>
      <c r="V99" s="24">
        <f t="shared" si="11"/>
        <v>0</v>
      </c>
    </row>
    <row r="100" ht="15.75" customHeight="1">
      <c r="A100" s="23" t="str">
        <f t="shared" si="10"/>
        <v>Sam Holt</v>
      </c>
      <c r="B100" s="15"/>
      <c r="C100" s="15"/>
      <c r="D100" s="15"/>
      <c r="E100" s="15"/>
      <c r="F100" s="15"/>
      <c r="G100" s="15"/>
      <c r="H100" s="15"/>
      <c r="I100" s="15"/>
      <c r="J100" s="15"/>
      <c r="K100" s="15"/>
      <c r="L100" s="15"/>
      <c r="M100" s="15"/>
      <c r="N100" s="15"/>
      <c r="O100" s="15"/>
      <c r="P100" s="15"/>
      <c r="Q100" s="15"/>
      <c r="R100" s="15"/>
      <c r="S100" s="15"/>
      <c r="T100" s="15"/>
      <c r="U100" s="15"/>
      <c r="V100" s="24">
        <f t="shared" si="11"/>
        <v>0</v>
      </c>
    </row>
    <row r="101" ht="15.75" customHeight="1">
      <c r="A101" s="23" t="str">
        <f t="shared" si="10"/>
        <v>Seb Burgess</v>
      </c>
      <c r="B101" s="15"/>
      <c r="C101" s="15"/>
      <c r="D101" s="15"/>
      <c r="E101" s="15"/>
      <c r="F101" s="15"/>
      <c r="G101" s="15"/>
      <c r="H101" s="15"/>
      <c r="I101" s="15"/>
      <c r="J101" s="15"/>
      <c r="K101" s="15"/>
      <c r="L101" s="15"/>
      <c r="M101" s="15"/>
      <c r="N101" s="15"/>
      <c r="O101" s="15"/>
      <c r="P101" s="15"/>
      <c r="Q101" s="15"/>
      <c r="R101" s="15"/>
      <c r="S101" s="15"/>
      <c r="T101" s="15"/>
      <c r="U101" s="15"/>
      <c r="V101" s="24">
        <f t="shared" si="11"/>
        <v>0</v>
      </c>
    </row>
    <row r="102" ht="15.75" customHeight="1">
      <c r="A102" s="23" t="str">
        <f t="shared" si="10"/>
        <v/>
      </c>
      <c r="B102" s="15"/>
      <c r="C102" s="15"/>
      <c r="D102" s="15"/>
      <c r="E102" s="15"/>
      <c r="F102" s="15"/>
      <c r="G102" s="15"/>
      <c r="H102" s="15"/>
      <c r="I102" s="15"/>
      <c r="J102" s="15"/>
      <c r="K102" s="15"/>
      <c r="L102" s="15"/>
      <c r="M102" s="15"/>
      <c r="N102" s="15"/>
      <c r="O102" s="15"/>
      <c r="P102" s="15"/>
      <c r="Q102" s="15"/>
      <c r="R102" s="15"/>
      <c r="S102" s="15"/>
      <c r="T102" s="15"/>
      <c r="U102" s="15"/>
      <c r="V102" s="24">
        <f t="shared" si="11"/>
        <v>0</v>
      </c>
    </row>
    <row r="103" ht="15.75" customHeight="1">
      <c r="A103" s="23" t="str">
        <f t="shared" si="10"/>
        <v/>
      </c>
      <c r="B103" s="15"/>
      <c r="C103" s="15"/>
      <c r="D103" s="15"/>
      <c r="E103" s="15"/>
      <c r="F103" s="15"/>
      <c r="G103" s="15"/>
      <c r="H103" s="15"/>
      <c r="I103" s="15"/>
      <c r="J103" s="15"/>
      <c r="K103" s="15"/>
      <c r="L103" s="15"/>
      <c r="M103" s="15"/>
      <c r="N103" s="15"/>
      <c r="O103" s="15"/>
      <c r="P103" s="15"/>
      <c r="Q103" s="15"/>
      <c r="R103" s="15"/>
      <c r="S103" s="15"/>
      <c r="T103" s="15"/>
      <c r="U103" s="15"/>
      <c r="V103" s="24">
        <f t="shared" si="11"/>
        <v>0</v>
      </c>
    </row>
    <row r="104" ht="15.75" customHeight="1">
      <c r="A104" s="23" t="str">
        <f t="shared" si="10"/>
        <v/>
      </c>
      <c r="B104" s="15"/>
      <c r="C104" s="15"/>
      <c r="D104" s="15"/>
      <c r="E104" s="15"/>
      <c r="F104" s="15"/>
      <c r="G104" s="15"/>
      <c r="H104" s="15"/>
      <c r="I104" s="15"/>
      <c r="J104" s="15"/>
      <c r="K104" s="15"/>
      <c r="L104" s="15"/>
      <c r="M104" s="15"/>
      <c r="N104" s="15"/>
      <c r="O104" s="15"/>
      <c r="P104" s="15"/>
      <c r="Q104" s="15"/>
      <c r="R104" s="15"/>
      <c r="S104" s="15"/>
      <c r="T104" s="15"/>
      <c r="U104" s="15"/>
      <c r="V104" s="24">
        <f t="shared" si="11"/>
        <v>0</v>
      </c>
    </row>
    <row r="105" ht="15.75" customHeight="1">
      <c r="A105" s="23" t="str">
        <f t="shared" si="10"/>
        <v/>
      </c>
      <c r="B105" s="15"/>
      <c r="C105" s="15"/>
      <c r="D105" s="15"/>
      <c r="E105" s="15"/>
      <c r="F105" s="15"/>
      <c r="G105" s="15"/>
      <c r="H105" s="15"/>
      <c r="I105" s="15"/>
      <c r="J105" s="15"/>
      <c r="K105" s="15"/>
      <c r="L105" s="15"/>
      <c r="M105" s="15"/>
      <c r="N105" s="15"/>
      <c r="O105" s="15"/>
      <c r="P105" s="15"/>
      <c r="Q105" s="15"/>
      <c r="R105" s="15"/>
      <c r="S105" s="15"/>
      <c r="T105" s="15"/>
      <c r="U105" s="15"/>
      <c r="V105" s="24">
        <f t="shared" si="11"/>
        <v>0</v>
      </c>
    </row>
    <row r="106" ht="15.75" customHeight="1">
      <c r="A106" s="23" t="str">
        <f t="shared" si="10"/>
        <v/>
      </c>
      <c r="B106" s="15"/>
      <c r="C106" s="15"/>
      <c r="D106" s="15"/>
      <c r="E106" s="15"/>
      <c r="F106" s="15"/>
      <c r="G106" s="15"/>
      <c r="H106" s="15"/>
      <c r="I106" s="15"/>
      <c r="J106" s="15"/>
      <c r="K106" s="15"/>
      <c r="L106" s="15"/>
      <c r="M106" s="15"/>
      <c r="N106" s="15"/>
      <c r="O106" s="15"/>
      <c r="P106" s="15"/>
      <c r="Q106" s="15"/>
      <c r="R106" s="15"/>
      <c r="S106" s="15"/>
      <c r="T106" s="15"/>
      <c r="U106" s="15"/>
      <c r="V106" s="24">
        <f t="shared" si="11"/>
        <v>0</v>
      </c>
    </row>
    <row r="107" ht="15.75" customHeight="1">
      <c r="A107" s="23" t="str">
        <f t="shared" si="10"/>
        <v/>
      </c>
      <c r="B107" s="15"/>
      <c r="C107" s="15"/>
      <c r="D107" s="15"/>
      <c r="E107" s="15"/>
      <c r="F107" s="15"/>
      <c r="G107" s="15"/>
      <c r="H107" s="15"/>
      <c r="I107" s="15"/>
      <c r="J107" s="15"/>
      <c r="K107" s="15"/>
      <c r="L107" s="15"/>
      <c r="M107" s="15"/>
      <c r="N107" s="15"/>
      <c r="O107" s="15"/>
      <c r="P107" s="15"/>
      <c r="Q107" s="15"/>
      <c r="R107" s="15"/>
      <c r="S107" s="15"/>
      <c r="T107" s="15"/>
      <c r="U107" s="15"/>
      <c r="V107" s="24">
        <f t="shared" si="11"/>
        <v>0</v>
      </c>
    </row>
    <row r="108" ht="15.75" customHeight="1">
      <c r="A108" s="7" t="s">
        <v>144</v>
      </c>
      <c r="V108" s="24">
        <f>SUM(V80:V107)</f>
        <v>0</v>
      </c>
    </row>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6.0"/>
    <col customWidth="1" min="2" max="25" width="12.0"/>
    <col customWidth="1" min="26" max="26" width="8.71"/>
  </cols>
  <sheetData>
    <row r="1">
      <c r="A1" s="4" t="s">
        <v>93</v>
      </c>
      <c r="B1" s="5"/>
      <c r="C1" s="5"/>
      <c r="D1" s="5"/>
      <c r="E1" s="5"/>
      <c r="F1" s="5"/>
      <c r="G1" s="5"/>
      <c r="H1" s="5"/>
      <c r="I1" s="5"/>
      <c r="J1" s="5"/>
      <c r="K1" s="5"/>
      <c r="L1" s="5"/>
      <c r="M1" s="5"/>
      <c r="N1" s="5"/>
      <c r="O1" s="5"/>
      <c r="P1" s="5"/>
      <c r="Q1" s="5"/>
      <c r="R1" s="5"/>
      <c r="S1" s="5"/>
      <c r="T1" s="5"/>
      <c r="U1" s="5"/>
      <c r="V1" s="5"/>
      <c r="W1" s="5"/>
      <c r="X1" s="5"/>
      <c r="Y1" s="5"/>
    </row>
    <row r="2">
      <c r="A2" s="6" t="s">
        <v>40</v>
      </c>
      <c r="B2" s="6" t="s">
        <v>41</v>
      </c>
      <c r="C2" s="6" t="s">
        <v>42</v>
      </c>
      <c r="D2" s="6" t="s">
        <v>43</v>
      </c>
      <c r="E2" s="6" t="s">
        <v>44</v>
      </c>
      <c r="F2" s="6" t="s">
        <v>45</v>
      </c>
      <c r="G2" s="6" t="s">
        <v>46</v>
      </c>
      <c r="H2" s="6" t="s">
        <v>47</v>
      </c>
      <c r="I2" s="6" t="s">
        <v>48</v>
      </c>
      <c r="J2" s="6" t="s">
        <v>49</v>
      </c>
      <c r="K2" s="6" t="s">
        <v>50</v>
      </c>
      <c r="L2" s="6" t="s">
        <v>51</v>
      </c>
      <c r="M2" s="6" t="s">
        <v>52</v>
      </c>
      <c r="N2" s="6" t="s">
        <v>53</v>
      </c>
      <c r="O2" s="6" t="s">
        <v>54</v>
      </c>
      <c r="P2" s="6" t="s">
        <v>55</v>
      </c>
      <c r="Q2" s="6" t="s">
        <v>56</v>
      </c>
      <c r="R2" s="6" t="s">
        <v>57</v>
      </c>
      <c r="S2" s="6" t="s">
        <v>58</v>
      </c>
      <c r="T2" s="6" t="s">
        <v>59</v>
      </c>
      <c r="U2" s="6" t="s">
        <v>60</v>
      </c>
      <c r="X2" s="7" t="s">
        <v>61</v>
      </c>
    </row>
    <row r="3">
      <c r="A3" s="8" t="s">
        <v>62</v>
      </c>
      <c r="B3" s="9">
        <v>45841.0</v>
      </c>
      <c r="C3" s="9">
        <v>45848.0</v>
      </c>
      <c r="D3" s="9">
        <v>45855.0</v>
      </c>
      <c r="E3" s="9">
        <v>45862.0</v>
      </c>
      <c r="F3" s="9">
        <v>45869.0</v>
      </c>
      <c r="G3" s="9">
        <v>45876.0</v>
      </c>
      <c r="H3" s="9">
        <v>45883.0</v>
      </c>
      <c r="I3" s="9">
        <v>45890.0</v>
      </c>
      <c r="J3" s="9">
        <v>45897.0</v>
      </c>
      <c r="K3" s="9">
        <v>45904.0</v>
      </c>
      <c r="L3" s="9">
        <v>45911.0</v>
      </c>
      <c r="M3" s="9">
        <v>45918.0</v>
      </c>
      <c r="N3" s="9">
        <v>45925.0</v>
      </c>
      <c r="O3" s="9">
        <v>45932.0</v>
      </c>
      <c r="P3" s="9"/>
      <c r="Q3" s="9"/>
      <c r="R3" s="9"/>
      <c r="S3" s="9"/>
      <c r="T3" s="9"/>
      <c r="U3" s="9"/>
      <c r="X3" s="7" t="s">
        <v>63</v>
      </c>
      <c r="Y3" s="10">
        <f>Y4+Y5+Y6</f>
        <v>11</v>
      </c>
    </row>
    <row r="4">
      <c r="A4" s="8" t="s">
        <v>64</v>
      </c>
      <c r="B4" s="11"/>
      <c r="C4" s="11"/>
      <c r="D4" s="11"/>
      <c r="E4" s="11"/>
      <c r="F4" s="11"/>
      <c r="G4" s="11"/>
      <c r="H4" s="11"/>
      <c r="I4" s="11"/>
      <c r="J4" s="11"/>
      <c r="K4" s="11"/>
      <c r="L4" s="11"/>
      <c r="M4" s="11"/>
      <c r="N4" s="11"/>
      <c r="O4" s="11"/>
      <c r="P4" s="11"/>
      <c r="Q4" s="11"/>
      <c r="R4" s="11"/>
      <c r="S4" s="11"/>
      <c r="T4" s="11"/>
      <c r="U4" s="11"/>
      <c r="X4" s="7" t="s">
        <v>65</v>
      </c>
      <c r="Y4" s="10">
        <f>SUMPRODUCT(($B$9:$U$9="W")*($B$16:$U$16=""))</f>
        <v>2</v>
      </c>
    </row>
    <row r="5" ht="27.75" customHeight="1">
      <c r="A5" s="8" t="s">
        <v>66</v>
      </c>
      <c r="B5" s="12" t="s">
        <v>86</v>
      </c>
      <c r="C5" s="12" t="s">
        <v>120</v>
      </c>
      <c r="D5" s="12" t="s">
        <v>89</v>
      </c>
      <c r="E5" s="12" t="s">
        <v>85</v>
      </c>
      <c r="F5" s="12" t="s">
        <v>88</v>
      </c>
      <c r="G5" s="12" t="s">
        <v>121</v>
      </c>
      <c r="H5" s="12" t="s">
        <v>90</v>
      </c>
      <c r="I5" s="12" t="s">
        <v>122</v>
      </c>
      <c r="J5" s="12" t="s">
        <v>86</v>
      </c>
      <c r="K5" s="12" t="s">
        <v>124</v>
      </c>
      <c r="L5" s="12" t="s">
        <v>91</v>
      </c>
      <c r="M5" s="12" t="s">
        <v>125</v>
      </c>
      <c r="N5" s="12" t="s">
        <v>90</v>
      </c>
      <c r="O5" s="12" t="s">
        <v>89</v>
      </c>
      <c r="P5" s="12"/>
      <c r="Q5" s="12"/>
      <c r="R5" s="12"/>
      <c r="S5" s="12"/>
      <c r="T5" s="12"/>
      <c r="U5" s="12"/>
      <c r="X5" s="7" t="s">
        <v>75</v>
      </c>
      <c r="Y5" s="10">
        <f>SUMPRODUCT(($B$9:$U$9="D")*($B$16:$U$16=""))</f>
        <v>0</v>
      </c>
    </row>
    <row r="6">
      <c r="A6" s="8" t="s">
        <v>79</v>
      </c>
      <c r="B6" s="13">
        <v>3.0</v>
      </c>
      <c r="C6" s="13">
        <v>2.0</v>
      </c>
      <c r="D6" s="13">
        <v>4.0</v>
      </c>
      <c r="E6" s="13">
        <v>4.0</v>
      </c>
      <c r="F6" s="13">
        <v>2.0</v>
      </c>
      <c r="G6" s="13">
        <v>2.0</v>
      </c>
      <c r="H6" s="13">
        <v>4.0</v>
      </c>
      <c r="I6" s="13">
        <v>2.0</v>
      </c>
      <c r="J6" s="13"/>
      <c r="K6" s="13"/>
      <c r="L6" s="13">
        <v>5.0</v>
      </c>
      <c r="M6" s="13"/>
      <c r="N6" s="13">
        <v>0.0</v>
      </c>
      <c r="O6" s="13">
        <v>2.0</v>
      </c>
      <c r="P6" s="13"/>
      <c r="Q6" s="13"/>
      <c r="R6" s="13"/>
      <c r="S6" s="13"/>
      <c r="T6" s="13"/>
      <c r="U6" s="13"/>
      <c r="X6" s="7" t="s">
        <v>80</v>
      </c>
      <c r="Y6" s="10">
        <f>SUMPRODUCT(($B$9:$U$9="L")*($B$16:$U$16=""))</f>
        <v>9</v>
      </c>
    </row>
    <row r="7">
      <c r="A7" s="8" t="s">
        <v>81</v>
      </c>
      <c r="B7" s="13">
        <v>8.0</v>
      </c>
      <c r="C7" s="13">
        <v>7.0</v>
      </c>
      <c r="D7" s="13">
        <v>8.0</v>
      </c>
      <c r="E7" s="13">
        <v>7.0</v>
      </c>
      <c r="F7" s="13">
        <v>6.0</v>
      </c>
      <c r="G7" s="13">
        <v>7.0</v>
      </c>
      <c r="H7" s="13">
        <v>3.0</v>
      </c>
      <c r="I7" s="13">
        <v>6.0</v>
      </c>
      <c r="J7" s="13"/>
      <c r="K7" s="13"/>
      <c r="L7" s="13">
        <v>1.0</v>
      </c>
      <c r="M7" s="13"/>
      <c r="N7" s="13">
        <v>3.0</v>
      </c>
      <c r="O7" s="13">
        <v>4.0</v>
      </c>
      <c r="P7" s="13"/>
      <c r="Q7" s="13"/>
      <c r="R7" s="13"/>
      <c r="S7" s="13"/>
      <c r="T7" s="13"/>
      <c r="U7" s="13"/>
      <c r="X7" s="7" t="s">
        <v>82</v>
      </c>
      <c r="Y7" s="10">
        <f>SUMPRODUCT($B$6:$U$6*($B$16:$U$16=""))</f>
        <v>30</v>
      </c>
    </row>
    <row r="8">
      <c r="A8" s="8" t="s">
        <v>83</v>
      </c>
      <c r="B8" s="14" t="str">
        <f t="shared" ref="B8:U8" si="1">IF(COUNT(B6:B7)&lt;2,"",B6&amp;"-"&amp;B7)</f>
        <v>3-8</v>
      </c>
      <c r="C8" s="14" t="str">
        <f t="shared" si="1"/>
        <v>2-7</v>
      </c>
      <c r="D8" s="14" t="str">
        <f t="shared" si="1"/>
        <v>4-8</v>
      </c>
      <c r="E8" s="14" t="str">
        <f t="shared" si="1"/>
        <v>4-7</v>
      </c>
      <c r="F8" s="14" t="str">
        <f t="shared" si="1"/>
        <v>2-6</v>
      </c>
      <c r="G8" s="14" t="str">
        <f t="shared" si="1"/>
        <v>2-7</v>
      </c>
      <c r="H8" s="14" t="str">
        <f t="shared" si="1"/>
        <v>4-3</v>
      </c>
      <c r="I8" s="14" t="str">
        <f t="shared" si="1"/>
        <v>2-6</v>
      </c>
      <c r="J8" s="14" t="str">
        <f t="shared" si="1"/>
        <v/>
      </c>
      <c r="K8" s="14" t="str">
        <f t="shared" si="1"/>
        <v/>
      </c>
      <c r="L8" s="14" t="str">
        <f t="shared" si="1"/>
        <v>5-1</v>
      </c>
      <c r="M8" s="14" t="str">
        <f t="shared" si="1"/>
        <v/>
      </c>
      <c r="N8" s="14" t="str">
        <f t="shared" si="1"/>
        <v>0-3</v>
      </c>
      <c r="O8" s="14" t="str">
        <f t="shared" si="1"/>
        <v>2-4</v>
      </c>
      <c r="P8" s="14" t="str">
        <f t="shared" si="1"/>
        <v/>
      </c>
      <c r="Q8" s="14" t="str">
        <f t="shared" si="1"/>
        <v/>
      </c>
      <c r="R8" s="14" t="str">
        <f t="shared" si="1"/>
        <v/>
      </c>
      <c r="S8" s="14" t="str">
        <f t="shared" si="1"/>
        <v/>
      </c>
      <c r="T8" s="14" t="str">
        <f t="shared" si="1"/>
        <v/>
      </c>
      <c r="U8" s="14" t="str">
        <f t="shared" si="1"/>
        <v/>
      </c>
      <c r="X8" s="7" t="s">
        <v>94</v>
      </c>
      <c r="Y8" s="10">
        <f>SUMPRODUCT($B$7:$U$7*($B$16:$U$16=""))</f>
        <v>60</v>
      </c>
    </row>
    <row r="9">
      <c r="A9" s="8" t="s">
        <v>95</v>
      </c>
      <c r="B9" s="14" t="str">
        <f t="shared" ref="B9:U9" si="2">IF(COUNT(B6:B7)&lt;2,"",IF(B6&gt;B7,"W",IF(B6&lt;B7,"L","D")))</f>
        <v>L</v>
      </c>
      <c r="C9" s="14" t="str">
        <f t="shared" si="2"/>
        <v>L</v>
      </c>
      <c r="D9" s="14" t="str">
        <f t="shared" si="2"/>
        <v>L</v>
      </c>
      <c r="E9" s="14" t="str">
        <f t="shared" si="2"/>
        <v>L</v>
      </c>
      <c r="F9" s="14" t="str">
        <f t="shared" si="2"/>
        <v>L</v>
      </c>
      <c r="G9" s="14" t="str">
        <f t="shared" si="2"/>
        <v>L</v>
      </c>
      <c r="H9" s="14" t="str">
        <f t="shared" si="2"/>
        <v>W</v>
      </c>
      <c r="I9" s="14" t="str">
        <f t="shared" si="2"/>
        <v>L</v>
      </c>
      <c r="J9" s="14" t="str">
        <f t="shared" si="2"/>
        <v/>
      </c>
      <c r="K9" s="14" t="str">
        <f t="shared" si="2"/>
        <v/>
      </c>
      <c r="L9" s="14" t="str">
        <f t="shared" si="2"/>
        <v>W</v>
      </c>
      <c r="M9" s="14" t="str">
        <f t="shared" si="2"/>
        <v/>
      </c>
      <c r="N9" s="14" t="str">
        <f t="shared" si="2"/>
        <v>L</v>
      </c>
      <c r="O9" s="14" t="str">
        <f t="shared" si="2"/>
        <v>L</v>
      </c>
      <c r="P9" s="14" t="str">
        <f t="shared" si="2"/>
        <v/>
      </c>
      <c r="Q9" s="14" t="str">
        <f t="shared" si="2"/>
        <v/>
      </c>
      <c r="R9" s="14" t="str">
        <f t="shared" si="2"/>
        <v/>
      </c>
      <c r="S9" s="14" t="str">
        <f t="shared" si="2"/>
        <v/>
      </c>
      <c r="T9" s="14" t="str">
        <f t="shared" si="2"/>
        <v/>
      </c>
      <c r="U9" s="14" t="str">
        <f t="shared" si="2"/>
        <v/>
      </c>
      <c r="X9" s="7" t="s">
        <v>96</v>
      </c>
      <c r="Y9" s="10" t="str">
        <f t="array" ref="Y9">IF(MAX($V$49:$V$76)=0,"—",INDEX($A$49:$A$76,MATCH(MAX($V$49:$V$76),$V$49:$V$76,0))&amp;" ("&amp;MAX($V$49:$V$76)&amp;")")</f>
        <v>Seb Burgess (14)</v>
      </c>
    </row>
    <row r="10">
      <c r="A10" s="8" t="s">
        <v>97</v>
      </c>
      <c r="B10" s="15" t="s">
        <v>102</v>
      </c>
      <c r="C10" s="15"/>
      <c r="D10" s="15"/>
      <c r="E10" s="15"/>
      <c r="F10" s="15"/>
      <c r="G10" s="15"/>
      <c r="H10" s="15"/>
      <c r="I10" s="15"/>
      <c r="J10" s="15"/>
      <c r="K10" s="15"/>
      <c r="L10" s="15"/>
      <c r="M10" s="15"/>
      <c r="N10" s="15"/>
      <c r="O10" s="15"/>
      <c r="P10" s="15"/>
      <c r="Q10" s="15"/>
      <c r="R10" s="15"/>
      <c r="S10" s="15"/>
      <c r="T10" s="15"/>
      <c r="U10" s="15"/>
      <c r="X10" s="7" t="s">
        <v>106</v>
      </c>
      <c r="Y10" s="10" t="str">
        <f t="array" ref="Y10">IF(MAX($V$18:$V$45)=0,"—",INDEX($A$18:$A$45,MATCH(MAX($V$18:$V$45),$V$18:$V$45,0))&amp;" ("&amp;MAX($V$18:$V$45)&amp;")")</f>
        <v>Seb Burgess (13)</v>
      </c>
    </row>
    <row r="11">
      <c r="A11" s="8" t="s">
        <v>107</v>
      </c>
      <c r="B11" s="15"/>
      <c r="C11" s="15"/>
      <c r="D11" s="15"/>
      <c r="E11" s="15"/>
      <c r="F11" s="15"/>
      <c r="G11" s="15"/>
      <c r="H11" s="15"/>
      <c r="I11" s="15"/>
      <c r="J11" s="15"/>
      <c r="K11" s="15"/>
      <c r="L11" s="15"/>
      <c r="M11" s="15"/>
      <c r="N11" s="15"/>
      <c r="O11" s="15"/>
      <c r="P11" s="15"/>
      <c r="Q11" s="15"/>
      <c r="R11" s="15"/>
      <c r="S11" s="15"/>
      <c r="T11" s="15"/>
      <c r="U11" s="15"/>
      <c r="X11" s="7" t="s">
        <v>108</v>
      </c>
      <c r="Y11" s="16">
        <f>SUM($B$13:$U$13)</f>
        <v>0</v>
      </c>
    </row>
    <row r="12" ht="25.5" customHeight="1">
      <c r="A12" s="8" t="s">
        <v>112</v>
      </c>
      <c r="B12" s="17"/>
      <c r="C12" s="17"/>
      <c r="D12" s="17"/>
      <c r="E12" s="17"/>
      <c r="F12" s="17"/>
      <c r="G12" s="17"/>
      <c r="H12" s="17"/>
      <c r="I12" s="17"/>
      <c r="J12" s="17" t="s">
        <v>145</v>
      </c>
      <c r="K12" s="17" t="s">
        <v>145</v>
      </c>
      <c r="L12" s="17"/>
      <c r="M12" s="17" t="s">
        <v>145</v>
      </c>
      <c r="N12" s="17"/>
      <c r="O12" s="17"/>
      <c r="P12" s="17"/>
      <c r="Q12" s="17"/>
      <c r="R12" s="17"/>
      <c r="S12" s="17"/>
      <c r="T12" s="17"/>
      <c r="U12" s="17"/>
      <c r="X12" s="7" t="s">
        <v>119</v>
      </c>
      <c r="Y12" s="18"/>
    </row>
    <row r="13">
      <c r="A13" s="8" t="s">
        <v>123</v>
      </c>
      <c r="B13" s="19"/>
      <c r="C13" s="19"/>
      <c r="D13" s="19"/>
      <c r="E13" s="19"/>
      <c r="F13" s="19"/>
      <c r="G13" s="19"/>
      <c r="H13" s="19"/>
      <c r="I13" s="19"/>
      <c r="J13" s="19"/>
      <c r="K13" s="19"/>
      <c r="L13" s="19"/>
      <c r="M13" s="19"/>
      <c r="N13" s="19"/>
      <c r="O13" s="19"/>
      <c r="P13" s="19"/>
      <c r="Q13" s="19"/>
      <c r="R13" s="19"/>
      <c r="S13" s="19"/>
      <c r="T13" s="19"/>
      <c r="U13" s="19"/>
    </row>
    <row r="14">
      <c r="A14" s="8" t="s">
        <v>126</v>
      </c>
      <c r="B14" s="14">
        <f t="shared" ref="B14:U14" si="3">COUNT(B$18:B$45)</f>
        <v>5</v>
      </c>
      <c r="C14" s="14">
        <f t="shared" si="3"/>
        <v>7</v>
      </c>
      <c r="D14" s="14">
        <f t="shared" si="3"/>
        <v>6</v>
      </c>
      <c r="E14" s="14">
        <f t="shared" si="3"/>
        <v>7</v>
      </c>
      <c r="F14" s="14">
        <f t="shared" si="3"/>
        <v>6</v>
      </c>
      <c r="G14" s="14">
        <f t="shared" si="3"/>
        <v>7</v>
      </c>
      <c r="H14" s="14">
        <f t="shared" si="3"/>
        <v>5</v>
      </c>
      <c r="I14" s="14">
        <f t="shared" si="3"/>
        <v>6</v>
      </c>
      <c r="J14" s="14">
        <f t="shared" si="3"/>
        <v>6</v>
      </c>
      <c r="K14" s="14">
        <f t="shared" si="3"/>
        <v>7</v>
      </c>
      <c r="L14" s="14">
        <f t="shared" si="3"/>
        <v>7</v>
      </c>
      <c r="M14" s="14">
        <f t="shared" si="3"/>
        <v>5</v>
      </c>
      <c r="N14" s="14">
        <f t="shared" si="3"/>
        <v>6</v>
      </c>
      <c r="O14" s="14">
        <f t="shared" si="3"/>
        <v>5</v>
      </c>
      <c r="P14" s="14">
        <f t="shared" si="3"/>
        <v>0</v>
      </c>
      <c r="Q14" s="14">
        <f t="shared" si="3"/>
        <v>0</v>
      </c>
      <c r="R14" s="14">
        <f t="shared" si="3"/>
        <v>0</v>
      </c>
      <c r="S14" s="14">
        <f t="shared" si="3"/>
        <v>0</v>
      </c>
      <c r="T14" s="14">
        <f t="shared" si="3"/>
        <v>0</v>
      </c>
      <c r="U14" s="14">
        <f t="shared" si="3"/>
        <v>0</v>
      </c>
    </row>
    <row r="15">
      <c r="A15" s="8" t="s">
        <v>127</v>
      </c>
      <c r="B15" s="20">
        <f t="shared" ref="B15:U15" si="4">IF(B$14=0,0,N(B$13)/B$14)</f>
        <v>0</v>
      </c>
      <c r="C15" s="20">
        <f t="shared" si="4"/>
        <v>0</v>
      </c>
      <c r="D15" s="20">
        <f t="shared" si="4"/>
        <v>0</v>
      </c>
      <c r="E15" s="20">
        <f t="shared" si="4"/>
        <v>0</v>
      </c>
      <c r="F15" s="20">
        <f t="shared" si="4"/>
        <v>0</v>
      </c>
      <c r="G15" s="20">
        <f t="shared" si="4"/>
        <v>0</v>
      </c>
      <c r="H15" s="20">
        <f t="shared" si="4"/>
        <v>0</v>
      </c>
      <c r="I15" s="20">
        <f t="shared" si="4"/>
        <v>0</v>
      </c>
      <c r="J15" s="20">
        <f t="shared" si="4"/>
        <v>0</v>
      </c>
      <c r="K15" s="20">
        <f t="shared" si="4"/>
        <v>0</v>
      </c>
      <c r="L15" s="20">
        <f t="shared" si="4"/>
        <v>0</v>
      </c>
      <c r="M15" s="20">
        <f t="shared" si="4"/>
        <v>0</v>
      </c>
      <c r="N15" s="20">
        <f t="shared" si="4"/>
        <v>0</v>
      </c>
      <c r="O15" s="20">
        <f t="shared" si="4"/>
        <v>0</v>
      </c>
      <c r="P15" s="20">
        <f t="shared" si="4"/>
        <v>0</v>
      </c>
      <c r="Q15" s="20">
        <f t="shared" si="4"/>
        <v>0</v>
      </c>
      <c r="R15" s="20">
        <f t="shared" si="4"/>
        <v>0</v>
      </c>
      <c r="S15" s="20">
        <f t="shared" si="4"/>
        <v>0</v>
      </c>
      <c r="T15" s="20">
        <f t="shared" si="4"/>
        <v>0</v>
      </c>
      <c r="U15" s="20">
        <f t="shared" si="4"/>
        <v>0</v>
      </c>
    </row>
    <row r="16">
      <c r="A16" s="8" t="s">
        <v>128</v>
      </c>
      <c r="B16" s="13"/>
      <c r="C16" s="13"/>
      <c r="D16" s="13"/>
      <c r="E16" s="13"/>
      <c r="F16" s="13"/>
      <c r="G16" s="13"/>
      <c r="H16" s="13"/>
      <c r="I16" s="13"/>
      <c r="J16" s="13"/>
      <c r="K16" s="13"/>
      <c r="L16" s="13"/>
      <c r="M16" s="13"/>
      <c r="N16" s="13"/>
      <c r="O16" s="13"/>
      <c r="P16" s="13"/>
      <c r="Q16" s="13"/>
      <c r="R16" s="13"/>
      <c r="S16" s="13"/>
      <c r="T16" s="13"/>
      <c r="U16" s="13"/>
    </row>
    <row r="17">
      <c r="A17" s="21" t="s">
        <v>129</v>
      </c>
      <c r="B17" s="22" t="s">
        <v>41</v>
      </c>
      <c r="C17" s="22" t="s">
        <v>42</v>
      </c>
      <c r="D17" s="22" t="s">
        <v>43</v>
      </c>
      <c r="E17" s="22" t="s">
        <v>44</v>
      </c>
      <c r="F17" s="22" t="s">
        <v>45</v>
      </c>
      <c r="G17" s="22" t="s">
        <v>46</v>
      </c>
      <c r="H17" s="22" t="s">
        <v>47</v>
      </c>
      <c r="I17" s="22" t="s">
        <v>48</v>
      </c>
      <c r="J17" s="22" t="s">
        <v>49</v>
      </c>
      <c r="K17" s="22" t="s">
        <v>50</v>
      </c>
      <c r="L17" s="22" t="s">
        <v>51</v>
      </c>
      <c r="M17" s="22" t="s">
        <v>52</v>
      </c>
      <c r="N17" s="22" t="s">
        <v>53</v>
      </c>
      <c r="O17" s="22" t="s">
        <v>54</v>
      </c>
      <c r="P17" s="22" t="s">
        <v>55</v>
      </c>
      <c r="Q17" s="22" t="s">
        <v>56</v>
      </c>
      <c r="R17" s="22" t="s">
        <v>57</v>
      </c>
      <c r="S17" s="22" t="s">
        <v>58</v>
      </c>
      <c r="T17" s="22" t="s">
        <v>59</v>
      </c>
      <c r="U17" s="22" t="s">
        <v>60</v>
      </c>
      <c r="V17" s="22" t="s">
        <v>130</v>
      </c>
      <c r="W17" s="22" t="s">
        <v>131</v>
      </c>
    </row>
    <row r="18">
      <c r="A18" s="23" t="s">
        <v>132</v>
      </c>
      <c r="B18" s="15"/>
      <c r="C18" s="15"/>
      <c r="D18" s="15"/>
      <c r="E18" s="15"/>
      <c r="F18" s="15"/>
      <c r="G18" s="15"/>
      <c r="H18" s="15"/>
      <c r="I18" s="15"/>
      <c r="J18" s="15"/>
      <c r="K18" s="15"/>
      <c r="L18" s="15"/>
      <c r="M18" s="15"/>
      <c r="N18" s="15"/>
      <c r="O18" s="15"/>
      <c r="P18" s="15"/>
      <c r="Q18" s="15"/>
      <c r="R18" s="15"/>
      <c r="S18" s="15"/>
      <c r="T18" s="15"/>
      <c r="U18" s="15"/>
      <c r="V18" s="24">
        <f t="shared" ref="V18:V45" si="5">SUMPRODUCT(B18:U18*($B$16:$U$16=""))</f>
        <v>0</v>
      </c>
      <c r="W18" s="20">
        <f t="shared" ref="W18:W45" si="6">SUMPRODUCT($B18:$U18,$B$15:$U$15)</f>
        <v>0</v>
      </c>
    </row>
    <row r="19">
      <c r="A19" s="23" t="s">
        <v>133</v>
      </c>
      <c r="B19" s="15"/>
      <c r="C19" s="15"/>
      <c r="D19" s="15">
        <v>1.0</v>
      </c>
      <c r="E19" s="15"/>
      <c r="F19" s="15"/>
      <c r="G19" s="15"/>
      <c r="H19" s="15"/>
      <c r="I19" s="15"/>
      <c r="J19" s="15"/>
      <c r="K19" s="15"/>
      <c r="L19" s="15"/>
      <c r="M19" s="15"/>
      <c r="N19" s="15"/>
      <c r="O19" s="15"/>
      <c r="P19" s="15"/>
      <c r="Q19" s="15"/>
      <c r="R19" s="15"/>
      <c r="S19" s="15"/>
      <c r="T19" s="15"/>
      <c r="U19" s="15"/>
      <c r="V19" s="24">
        <f t="shared" si="5"/>
        <v>1</v>
      </c>
      <c r="W19" s="20">
        <f t="shared" si="6"/>
        <v>0</v>
      </c>
    </row>
    <row r="20">
      <c r="A20" s="23" t="s">
        <v>103</v>
      </c>
      <c r="B20" s="15">
        <v>1.0</v>
      </c>
      <c r="C20" s="15">
        <v>1.0</v>
      </c>
      <c r="D20" s="15"/>
      <c r="E20" s="15"/>
      <c r="F20" s="15">
        <v>1.0</v>
      </c>
      <c r="G20" s="15"/>
      <c r="H20" s="15">
        <v>1.0</v>
      </c>
      <c r="I20" s="15"/>
      <c r="J20" s="15">
        <v>1.0</v>
      </c>
      <c r="K20" s="15">
        <v>1.0</v>
      </c>
      <c r="L20" s="15">
        <v>1.0</v>
      </c>
      <c r="M20" s="15"/>
      <c r="N20" s="15">
        <v>1.0</v>
      </c>
      <c r="O20" s="15">
        <v>1.0</v>
      </c>
      <c r="P20" s="15"/>
      <c r="Q20" s="15"/>
      <c r="R20" s="15"/>
      <c r="S20" s="15"/>
      <c r="T20" s="15"/>
      <c r="U20" s="15"/>
      <c r="V20" s="24">
        <f t="shared" si="5"/>
        <v>9</v>
      </c>
      <c r="W20" s="20">
        <f t="shared" si="6"/>
        <v>0</v>
      </c>
    </row>
    <row r="21" ht="15.75" customHeight="1">
      <c r="A21" s="23" t="s">
        <v>110</v>
      </c>
      <c r="B21" s="15"/>
      <c r="C21" s="15">
        <v>1.0</v>
      </c>
      <c r="D21" s="15">
        <v>1.0</v>
      </c>
      <c r="E21" s="15">
        <v>1.0</v>
      </c>
      <c r="F21" s="15"/>
      <c r="G21" s="15"/>
      <c r="H21" s="15"/>
      <c r="I21" s="15">
        <v>1.0</v>
      </c>
      <c r="J21" s="15">
        <v>1.0</v>
      </c>
      <c r="K21" s="15">
        <v>1.0</v>
      </c>
      <c r="L21" s="15">
        <v>1.0</v>
      </c>
      <c r="M21" s="15">
        <v>1.0</v>
      </c>
      <c r="N21" s="15"/>
      <c r="O21" s="15"/>
      <c r="P21" s="15"/>
      <c r="Q21" s="15"/>
      <c r="R21" s="15"/>
      <c r="S21" s="15"/>
      <c r="T21" s="15"/>
      <c r="U21" s="15"/>
      <c r="V21" s="24">
        <f t="shared" si="5"/>
        <v>8</v>
      </c>
      <c r="W21" s="20">
        <f t="shared" si="6"/>
        <v>0</v>
      </c>
    </row>
    <row r="22" ht="15.75" customHeight="1">
      <c r="A22" s="23" t="s">
        <v>100</v>
      </c>
      <c r="B22" s="15">
        <v>1.0</v>
      </c>
      <c r="C22" s="15"/>
      <c r="D22" s="15">
        <v>1.0</v>
      </c>
      <c r="E22" s="15"/>
      <c r="F22" s="15"/>
      <c r="G22" s="15"/>
      <c r="H22" s="15">
        <v>1.0</v>
      </c>
      <c r="I22" s="15"/>
      <c r="J22" s="15">
        <v>1.0</v>
      </c>
      <c r="K22" s="15">
        <v>1.0</v>
      </c>
      <c r="L22" s="15">
        <v>1.0</v>
      </c>
      <c r="M22" s="15"/>
      <c r="N22" s="15"/>
      <c r="O22" s="15"/>
      <c r="P22" s="15"/>
      <c r="Q22" s="15"/>
      <c r="R22" s="15"/>
      <c r="S22" s="15"/>
      <c r="T22" s="15"/>
      <c r="U22" s="15"/>
      <c r="V22" s="24">
        <f t="shared" si="5"/>
        <v>6</v>
      </c>
      <c r="W22" s="20">
        <f t="shared" si="6"/>
        <v>0</v>
      </c>
    </row>
    <row r="23" ht="15.75" customHeight="1">
      <c r="A23" s="23" t="s">
        <v>134</v>
      </c>
      <c r="B23" s="15"/>
      <c r="C23" s="15"/>
      <c r="D23" s="15"/>
      <c r="E23" s="15">
        <v>1.0</v>
      </c>
      <c r="F23" s="15"/>
      <c r="G23" s="15"/>
      <c r="H23" s="15"/>
      <c r="I23" s="15"/>
      <c r="J23" s="15"/>
      <c r="K23" s="15"/>
      <c r="L23" s="15"/>
      <c r="M23" s="15"/>
      <c r="N23" s="15"/>
      <c r="O23" s="15"/>
      <c r="P23" s="15"/>
      <c r="Q23" s="15"/>
      <c r="R23" s="15"/>
      <c r="S23" s="15"/>
      <c r="T23" s="15"/>
      <c r="U23" s="15"/>
      <c r="V23" s="24">
        <f t="shared" si="5"/>
        <v>1</v>
      </c>
      <c r="W23" s="20">
        <f t="shared" si="6"/>
        <v>0</v>
      </c>
    </row>
    <row r="24" ht="15.75" customHeight="1">
      <c r="A24" s="23" t="s">
        <v>135</v>
      </c>
      <c r="B24" s="15"/>
      <c r="C24" s="15"/>
      <c r="D24" s="15"/>
      <c r="E24" s="15"/>
      <c r="F24" s="15"/>
      <c r="G24" s="15"/>
      <c r="H24" s="15"/>
      <c r="I24" s="15"/>
      <c r="J24" s="15"/>
      <c r="K24" s="15"/>
      <c r="L24" s="15"/>
      <c r="M24" s="15"/>
      <c r="N24" s="15"/>
      <c r="O24" s="15"/>
      <c r="P24" s="15"/>
      <c r="Q24" s="15"/>
      <c r="R24" s="15"/>
      <c r="S24" s="15"/>
      <c r="T24" s="15"/>
      <c r="U24" s="15"/>
      <c r="V24" s="24">
        <f t="shared" si="5"/>
        <v>0</v>
      </c>
      <c r="W24" s="20">
        <f t="shared" si="6"/>
        <v>0</v>
      </c>
    </row>
    <row r="25" ht="15.75" customHeight="1">
      <c r="A25" s="23" t="s">
        <v>136</v>
      </c>
      <c r="B25" s="15"/>
      <c r="C25" s="15"/>
      <c r="D25" s="15"/>
      <c r="E25" s="15"/>
      <c r="F25" s="15"/>
      <c r="G25" s="15"/>
      <c r="H25" s="15"/>
      <c r="I25" s="15"/>
      <c r="J25" s="15"/>
      <c r="K25" s="15"/>
      <c r="L25" s="15"/>
      <c r="M25" s="15"/>
      <c r="N25" s="15"/>
      <c r="O25" s="15"/>
      <c r="P25" s="15"/>
      <c r="Q25" s="15"/>
      <c r="R25" s="15"/>
      <c r="S25" s="15"/>
      <c r="T25" s="15"/>
      <c r="U25" s="15"/>
      <c r="V25" s="24">
        <f t="shared" si="5"/>
        <v>0</v>
      </c>
      <c r="W25" s="20">
        <f t="shared" si="6"/>
        <v>0</v>
      </c>
    </row>
    <row r="26" ht="15.75" customHeight="1">
      <c r="A26" s="23" t="s">
        <v>104</v>
      </c>
      <c r="B26" s="15"/>
      <c r="C26" s="15">
        <v>1.0</v>
      </c>
      <c r="D26" s="15"/>
      <c r="E26" s="15">
        <v>1.0</v>
      </c>
      <c r="F26" s="15"/>
      <c r="G26" s="15">
        <v>1.0</v>
      </c>
      <c r="H26" s="15"/>
      <c r="I26" s="15">
        <v>1.0</v>
      </c>
      <c r="J26" s="15"/>
      <c r="K26" s="15"/>
      <c r="L26" s="15"/>
      <c r="M26" s="15"/>
      <c r="N26" s="15"/>
      <c r="O26" s="15"/>
      <c r="P26" s="15"/>
      <c r="Q26" s="15"/>
      <c r="R26" s="15"/>
      <c r="S26" s="15"/>
      <c r="T26" s="15"/>
      <c r="U26" s="15"/>
      <c r="V26" s="24">
        <f t="shared" si="5"/>
        <v>4</v>
      </c>
      <c r="W26" s="20">
        <f t="shared" si="6"/>
        <v>0</v>
      </c>
    </row>
    <row r="27" ht="15.75" customHeight="1">
      <c r="A27" s="23" t="s">
        <v>137</v>
      </c>
      <c r="B27" s="15"/>
      <c r="C27" s="15"/>
      <c r="D27" s="15">
        <v>1.0</v>
      </c>
      <c r="E27" s="15">
        <v>1.0</v>
      </c>
      <c r="F27" s="15">
        <v>1.0</v>
      </c>
      <c r="G27" s="15">
        <v>1.0</v>
      </c>
      <c r="H27" s="15">
        <v>1.0</v>
      </c>
      <c r="I27" s="15">
        <v>1.0</v>
      </c>
      <c r="J27" s="15">
        <v>1.0</v>
      </c>
      <c r="K27" s="15"/>
      <c r="L27" s="15"/>
      <c r="M27" s="15"/>
      <c r="N27" s="15">
        <v>1.0</v>
      </c>
      <c r="O27" s="15">
        <v>1.0</v>
      </c>
      <c r="P27" s="15"/>
      <c r="Q27" s="15"/>
      <c r="R27" s="15"/>
      <c r="S27" s="15"/>
      <c r="T27" s="15"/>
      <c r="U27" s="15"/>
      <c r="V27" s="24">
        <f t="shared" si="5"/>
        <v>9</v>
      </c>
      <c r="W27" s="20">
        <f t="shared" si="6"/>
        <v>0</v>
      </c>
    </row>
    <row r="28" ht="15.75" customHeight="1">
      <c r="A28" s="23" t="s">
        <v>101</v>
      </c>
      <c r="B28" s="15"/>
      <c r="C28" s="15"/>
      <c r="D28" s="15"/>
      <c r="E28" s="15"/>
      <c r="F28" s="15"/>
      <c r="G28" s="15"/>
      <c r="H28" s="15"/>
      <c r="I28" s="15"/>
      <c r="J28" s="15"/>
      <c r="K28" s="15"/>
      <c r="L28" s="15"/>
      <c r="M28" s="15"/>
      <c r="N28" s="15"/>
      <c r="O28" s="15"/>
      <c r="P28" s="15"/>
      <c r="Q28" s="15"/>
      <c r="R28" s="15"/>
      <c r="S28" s="15"/>
      <c r="T28" s="15"/>
      <c r="U28" s="15"/>
      <c r="V28" s="24">
        <f t="shared" si="5"/>
        <v>0</v>
      </c>
      <c r="W28" s="20">
        <f t="shared" si="6"/>
        <v>0</v>
      </c>
    </row>
    <row r="29" ht="15.75" customHeight="1">
      <c r="A29" s="23" t="s">
        <v>98</v>
      </c>
      <c r="B29" s="15"/>
      <c r="C29" s="15">
        <v>1.0</v>
      </c>
      <c r="D29" s="15"/>
      <c r="E29" s="15"/>
      <c r="F29" s="15">
        <v>1.0</v>
      </c>
      <c r="G29" s="15">
        <v>1.0</v>
      </c>
      <c r="H29" s="15"/>
      <c r="I29" s="15"/>
      <c r="J29" s="15">
        <v>1.0</v>
      </c>
      <c r="K29" s="15">
        <v>1.0</v>
      </c>
      <c r="L29" s="15">
        <v>1.0</v>
      </c>
      <c r="M29" s="15">
        <v>1.0</v>
      </c>
      <c r="N29" s="15">
        <v>1.0</v>
      </c>
      <c r="O29" s="15">
        <v>1.0</v>
      </c>
      <c r="P29" s="15"/>
      <c r="Q29" s="15"/>
      <c r="R29" s="15"/>
      <c r="S29" s="15"/>
      <c r="T29" s="15"/>
      <c r="U29" s="15"/>
      <c r="V29" s="24">
        <f t="shared" si="5"/>
        <v>9</v>
      </c>
      <c r="W29" s="20">
        <f t="shared" si="6"/>
        <v>0</v>
      </c>
    </row>
    <row r="30" ht="15.75" customHeight="1">
      <c r="A30" s="23" t="s">
        <v>138</v>
      </c>
      <c r="B30" s="15"/>
      <c r="C30" s="15"/>
      <c r="D30" s="15"/>
      <c r="E30" s="15"/>
      <c r="F30" s="15"/>
      <c r="G30" s="15"/>
      <c r="H30" s="15"/>
      <c r="I30" s="15"/>
      <c r="J30" s="15"/>
      <c r="K30" s="15"/>
      <c r="L30" s="15"/>
      <c r="M30" s="15"/>
      <c r="N30" s="15"/>
      <c r="O30" s="15"/>
      <c r="P30" s="15"/>
      <c r="Q30" s="15"/>
      <c r="R30" s="15"/>
      <c r="S30" s="15"/>
      <c r="T30" s="15"/>
      <c r="U30" s="15"/>
      <c r="V30" s="24">
        <f t="shared" si="5"/>
        <v>0</v>
      </c>
      <c r="W30" s="20">
        <f t="shared" si="6"/>
        <v>0</v>
      </c>
    </row>
    <row r="31" ht="15.75" customHeight="1">
      <c r="A31" s="23" t="s">
        <v>139</v>
      </c>
      <c r="B31" s="15"/>
      <c r="C31" s="15"/>
      <c r="D31" s="15"/>
      <c r="E31" s="15"/>
      <c r="F31" s="15"/>
      <c r="G31" s="15"/>
      <c r="H31" s="15"/>
      <c r="I31" s="15"/>
      <c r="J31" s="15"/>
      <c r="K31" s="15"/>
      <c r="L31" s="15"/>
      <c r="M31" s="15"/>
      <c r="N31" s="15"/>
      <c r="O31" s="15"/>
      <c r="P31" s="15"/>
      <c r="Q31" s="15"/>
      <c r="R31" s="15"/>
      <c r="S31" s="15"/>
      <c r="T31" s="15"/>
      <c r="U31" s="15"/>
      <c r="V31" s="24">
        <f t="shared" si="5"/>
        <v>0</v>
      </c>
      <c r="W31" s="20">
        <f t="shared" si="6"/>
        <v>0</v>
      </c>
    </row>
    <row r="32" ht="15.75" customHeight="1">
      <c r="A32" s="23" t="s">
        <v>140</v>
      </c>
      <c r="B32" s="15"/>
      <c r="C32" s="15"/>
      <c r="D32" s="15"/>
      <c r="E32" s="15"/>
      <c r="F32" s="15"/>
      <c r="G32" s="15"/>
      <c r="H32" s="15"/>
      <c r="I32" s="15"/>
      <c r="J32" s="15"/>
      <c r="K32" s="15"/>
      <c r="L32" s="15"/>
      <c r="M32" s="15"/>
      <c r="N32" s="15"/>
      <c r="O32" s="15"/>
      <c r="P32" s="15"/>
      <c r="Q32" s="15"/>
      <c r="R32" s="15"/>
      <c r="S32" s="15"/>
      <c r="T32" s="15"/>
      <c r="U32" s="15"/>
      <c r="V32" s="24">
        <f t="shared" si="5"/>
        <v>0</v>
      </c>
      <c r="W32" s="20">
        <f t="shared" si="6"/>
        <v>0</v>
      </c>
    </row>
    <row r="33" ht="15.75" customHeight="1">
      <c r="A33" s="23" t="s">
        <v>141</v>
      </c>
      <c r="B33" s="15"/>
      <c r="C33" s="15"/>
      <c r="D33" s="15"/>
      <c r="E33" s="15"/>
      <c r="F33" s="15"/>
      <c r="G33" s="15"/>
      <c r="H33" s="15"/>
      <c r="I33" s="15"/>
      <c r="J33" s="15"/>
      <c r="K33" s="15"/>
      <c r="L33" s="15"/>
      <c r="M33" s="15"/>
      <c r="N33" s="15"/>
      <c r="O33" s="15"/>
      <c r="P33" s="15"/>
      <c r="Q33" s="15"/>
      <c r="R33" s="15"/>
      <c r="S33" s="15"/>
      <c r="T33" s="15"/>
      <c r="U33" s="15"/>
      <c r="V33" s="24">
        <f t="shared" si="5"/>
        <v>0</v>
      </c>
      <c r="W33" s="20">
        <f t="shared" si="6"/>
        <v>0</v>
      </c>
    </row>
    <row r="34" ht="15.75" customHeight="1">
      <c r="A34" s="23" t="s">
        <v>105</v>
      </c>
      <c r="B34" s="15">
        <v>1.0</v>
      </c>
      <c r="C34" s="15">
        <v>1.0</v>
      </c>
      <c r="D34" s="15">
        <v>1.0</v>
      </c>
      <c r="E34" s="15"/>
      <c r="F34" s="15"/>
      <c r="G34" s="15">
        <v>1.0</v>
      </c>
      <c r="H34" s="15"/>
      <c r="I34" s="15">
        <v>1.0</v>
      </c>
      <c r="J34" s="15"/>
      <c r="K34" s="15">
        <v>1.0</v>
      </c>
      <c r="L34" s="15"/>
      <c r="M34" s="15">
        <v>1.0</v>
      </c>
      <c r="N34" s="15">
        <v>1.0</v>
      </c>
      <c r="O34" s="15"/>
      <c r="P34" s="15"/>
      <c r="Q34" s="15"/>
      <c r="R34" s="15"/>
      <c r="S34" s="15"/>
      <c r="T34" s="15"/>
      <c r="U34" s="15"/>
      <c r="V34" s="24">
        <f t="shared" si="5"/>
        <v>8</v>
      </c>
      <c r="W34" s="20">
        <f t="shared" si="6"/>
        <v>0</v>
      </c>
    </row>
    <row r="35" ht="15.75" customHeight="1">
      <c r="A35" s="23" t="s">
        <v>111</v>
      </c>
      <c r="B35" s="15"/>
      <c r="C35" s="15">
        <v>1.0</v>
      </c>
      <c r="D35" s="15"/>
      <c r="E35" s="15">
        <v>1.0</v>
      </c>
      <c r="F35" s="15">
        <v>1.0</v>
      </c>
      <c r="G35" s="15">
        <v>1.0</v>
      </c>
      <c r="H35" s="15">
        <v>1.0</v>
      </c>
      <c r="I35" s="15">
        <v>1.0</v>
      </c>
      <c r="J35" s="15">
        <v>1.0</v>
      </c>
      <c r="K35" s="15">
        <v>1.0</v>
      </c>
      <c r="L35" s="15">
        <v>1.0</v>
      </c>
      <c r="M35" s="15"/>
      <c r="N35" s="15"/>
      <c r="O35" s="15"/>
      <c r="P35" s="15"/>
      <c r="Q35" s="15"/>
      <c r="R35" s="15"/>
      <c r="S35" s="15"/>
      <c r="T35" s="15"/>
      <c r="U35" s="15"/>
      <c r="V35" s="24">
        <f t="shared" si="5"/>
        <v>9</v>
      </c>
      <c r="W35" s="20">
        <f t="shared" si="6"/>
        <v>0</v>
      </c>
    </row>
    <row r="36" ht="15.75" customHeight="1">
      <c r="A36" s="23" t="s">
        <v>102</v>
      </c>
      <c r="B36" s="15">
        <v>1.0</v>
      </c>
      <c r="C36" s="15"/>
      <c r="D36" s="15"/>
      <c r="E36" s="15">
        <v>1.0</v>
      </c>
      <c r="F36" s="15">
        <v>1.0</v>
      </c>
      <c r="G36" s="15">
        <v>1.0</v>
      </c>
      <c r="H36" s="15"/>
      <c r="I36" s="15"/>
      <c r="J36" s="15"/>
      <c r="K36" s="15"/>
      <c r="L36" s="15">
        <v>1.0</v>
      </c>
      <c r="M36" s="15"/>
      <c r="N36" s="15"/>
      <c r="O36" s="15"/>
      <c r="P36" s="15"/>
      <c r="Q36" s="15"/>
      <c r="R36" s="15"/>
      <c r="S36" s="15"/>
      <c r="T36" s="15"/>
      <c r="U36" s="15"/>
      <c r="V36" s="24">
        <f t="shared" si="5"/>
        <v>5</v>
      </c>
      <c r="W36" s="20">
        <f t="shared" si="6"/>
        <v>0</v>
      </c>
    </row>
    <row r="37" ht="15.75" customHeight="1">
      <c r="A37" s="23" t="s">
        <v>142</v>
      </c>
      <c r="B37" s="15"/>
      <c r="C37" s="15"/>
      <c r="D37" s="15"/>
      <c r="E37" s="15"/>
      <c r="F37" s="15"/>
      <c r="G37" s="15"/>
      <c r="H37" s="15"/>
      <c r="I37" s="15"/>
      <c r="J37" s="15"/>
      <c r="K37" s="15"/>
      <c r="L37" s="15"/>
      <c r="M37" s="15"/>
      <c r="N37" s="15"/>
      <c r="O37" s="15"/>
      <c r="P37" s="15"/>
      <c r="Q37" s="15"/>
      <c r="R37" s="15"/>
      <c r="S37" s="15"/>
      <c r="T37" s="15"/>
      <c r="U37" s="15"/>
      <c r="V37" s="24">
        <f t="shared" si="5"/>
        <v>0</v>
      </c>
      <c r="W37" s="20">
        <f t="shared" si="6"/>
        <v>0</v>
      </c>
    </row>
    <row r="38" ht="15.75" customHeight="1">
      <c r="A38" s="23" t="s">
        <v>99</v>
      </c>
      <c r="B38" s="15"/>
      <c r="C38" s="15"/>
      <c r="D38" s="15"/>
      <c r="E38" s="15"/>
      <c r="F38" s="15"/>
      <c r="G38" s="15"/>
      <c r="H38" s="15"/>
      <c r="I38" s="15"/>
      <c r="J38" s="15"/>
      <c r="K38" s="15"/>
      <c r="L38" s="15"/>
      <c r="M38" s="15">
        <v>1.0</v>
      </c>
      <c r="N38" s="15">
        <v>1.0</v>
      </c>
      <c r="O38" s="15">
        <v>1.0</v>
      </c>
      <c r="P38" s="15"/>
      <c r="Q38" s="15"/>
      <c r="R38" s="15"/>
      <c r="S38" s="15"/>
      <c r="T38" s="15"/>
      <c r="U38" s="15"/>
      <c r="V38" s="24">
        <f t="shared" si="5"/>
        <v>3</v>
      </c>
      <c r="W38" s="20">
        <f t="shared" si="6"/>
        <v>0</v>
      </c>
    </row>
    <row r="39" ht="15.75" customHeight="1">
      <c r="A39" s="23" t="s">
        <v>143</v>
      </c>
      <c r="B39" s="15">
        <v>1.0</v>
      </c>
      <c r="C39" s="15">
        <v>1.0</v>
      </c>
      <c r="D39" s="15">
        <v>1.0</v>
      </c>
      <c r="E39" s="15">
        <v>1.0</v>
      </c>
      <c r="F39" s="15">
        <v>1.0</v>
      </c>
      <c r="G39" s="15">
        <v>1.0</v>
      </c>
      <c r="H39" s="15">
        <v>1.0</v>
      </c>
      <c r="I39" s="15">
        <v>1.0</v>
      </c>
      <c r="J39" s="15"/>
      <c r="K39" s="15">
        <v>1.0</v>
      </c>
      <c r="L39" s="15">
        <v>1.0</v>
      </c>
      <c r="M39" s="15">
        <v>1.0</v>
      </c>
      <c r="N39" s="15">
        <v>1.0</v>
      </c>
      <c r="O39" s="15">
        <v>1.0</v>
      </c>
      <c r="P39" s="15"/>
      <c r="Q39" s="15"/>
      <c r="R39" s="15"/>
      <c r="S39" s="15"/>
      <c r="T39" s="15"/>
      <c r="U39" s="15"/>
      <c r="V39" s="24">
        <f t="shared" si="5"/>
        <v>13</v>
      </c>
      <c r="W39" s="20">
        <f t="shared" si="6"/>
        <v>0</v>
      </c>
    </row>
    <row r="40" ht="15.75" customHeight="1">
      <c r="A40" s="23"/>
      <c r="B40" s="15"/>
      <c r="C40" s="15"/>
      <c r="D40" s="15"/>
      <c r="E40" s="15"/>
      <c r="F40" s="15"/>
      <c r="G40" s="15"/>
      <c r="H40" s="15"/>
      <c r="I40" s="15"/>
      <c r="J40" s="15"/>
      <c r="K40" s="15"/>
      <c r="L40" s="15"/>
      <c r="M40" s="15"/>
      <c r="N40" s="15"/>
      <c r="O40" s="15"/>
      <c r="P40" s="15"/>
      <c r="Q40" s="15"/>
      <c r="R40" s="15"/>
      <c r="S40" s="15"/>
      <c r="T40" s="15"/>
      <c r="U40" s="15"/>
      <c r="V40" s="24">
        <f t="shared" si="5"/>
        <v>0</v>
      </c>
      <c r="W40" s="20">
        <f t="shared" si="6"/>
        <v>0</v>
      </c>
    </row>
    <row r="41" ht="15.75" customHeight="1">
      <c r="A41" s="23"/>
      <c r="B41" s="15"/>
      <c r="C41" s="15"/>
      <c r="D41" s="15"/>
      <c r="E41" s="15"/>
      <c r="F41" s="15"/>
      <c r="G41" s="15"/>
      <c r="H41" s="15"/>
      <c r="I41" s="15"/>
      <c r="J41" s="15"/>
      <c r="K41" s="15"/>
      <c r="L41" s="15"/>
      <c r="M41" s="15"/>
      <c r="N41" s="15"/>
      <c r="O41" s="15"/>
      <c r="P41" s="15"/>
      <c r="Q41" s="15"/>
      <c r="R41" s="15"/>
      <c r="S41" s="15"/>
      <c r="T41" s="15"/>
      <c r="U41" s="15"/>
      <c r="V41" s="24">
        <f t="shared" si="5"/>
        <v>0</v>
      </c>
      <c r="W41" s="20">
        <f t="shared" si="6"/>
        <v>0</v>
      </c>
    </row>
    <row r="42" ht="15.75" customHeight="1">
      <c r="A42" s="23"/>
      <c r="B42" s="15"/>
      <c r="C42" s="15"/>
      <c r="D42" s="15"/>
      <c r="E42" s="15"/>
      <c r="F42" s="15"/>
      <c r="G42" s="15"/>
      <c r="H42" s="15"/>
      <c r="I42" s="15"/>
      <c r="J42" s="15"/>
      <c r="K42" s="15"/>
      <c r="L42" s="15"/>
      <c r="M42" s="15"/>
      <c r="N42" s="15"/>
      <c r="O42" s="15"/>
      <c r="P42" s="15"/>
      <c r="Q42" s="15"/>
      <c r="R42" s="15"/>
      <c r="S42" s="15"/>
      <c r="T42" s="15"/>
      <c r="U42" s="15"/>
      <c r="V42" s="24">
        <f t="shared" si="5"/>
        <v>0</v>
      </c>
      <c r="W42" s="20">
        <f t="shared" si="6"/>
        <v>0</v>
      </c>
    </row>
    <row r="43" ht="15.75" customHeight="1">
      <c r="A43" s="23"/>
      <c r="B43" s="15"/>
      <c r="C43" s="15"/>
      <c r="D43" s="15"/>
      <c r="E43" s="15"/>
      <c r="F43" s="15"/>
      <c r="G43" s="15"/>
      <c r="H43" s="15"/>
      <c r="I43" s="15"/>
      <c r="J43" s="15"/>
      <c r="K43" s="15"/>
      <c r="L43" s="15"/>
      <c r="M43" s="15"/>
      <c r="N43" s="15"/>
      <c r="O43" s="15"/>
      <c r="P43" s="15"/>
      <c r="Q43" s="15"/>
      <c r="R43" s="15"/>
      <c r="S43" s="15"/>
      <c r="T43" s="15"/>
      <c r="U43" s="15"/>
      <c r="V43" s="24">
        <f t="shared" si="5"/>
        <v>0</v>
      </c>
      <c r="W43" s="20">
        <f t="shared" si="6"/>
        <v>0</v>
      </c>
    </row>
    <row r="44" ht="15.75" customHeight="1">
      <c r="A44" s="23"/>
      <c r="B44" s="15"/>
      <c r="C44" s="15"/>
      <c r="D44" s="15"/>
      <c r="E44" s="15"/>
      <c r="F44" s="15"/>
      <c r="G44" s="15"/>
      <c r="H44" s="15"/>
      <c r="I44" s="15"/>
      <c r="J44" s="15"/>
      <c r="K44" s="15"/>
      <c r="L44" s="15"/>
      <c r="M44" s="15"/>
      <c r="N44" s="15"/>
      <c r="O44" s="15"/>
      <c r="P44" s="15"/>
      <c r="Q44" s="15"/>
      <c r="R44" s="15"/>
      <c r="S44" s="15"/>
      <c r="T44" s="15"/>
      <c r="U44" s="15"/>
      <c r="V44" s="24">
        <f t="shared" si="5"/>
        <v>0</v>
      </c>
      <c r="W44" s="20">
        <f t="shared" si="6"/>
        <v>0</v>
      </c>
    </row>
    <row r="45" ht="15.75" customHeight="1">
      <c r="A45" s="23"/>
      <c r="B45" s="15"/>
      <c r="C45" s="15"/>
      <c r="D45" s="15"/>
      <c r="E45" s="15"/>
      <c r="F45" s="15"/>
      <c r="G45" s="15"/>
      <c r="H45" s="15"/>
      <c r="I45" s="15"/>
      <c r="J45" s="15"/>
      <c r="K45" s="15"/>
      <c r="L45" s="15"/>
      <c r="M45" s="15"/>
      <c r="N45" s="15"/>
      <c r="O45" s="15"/>
      <c r="P45" s="15"/>
      <c r="Q45" s="15"/>
      <c r="R45" s="15"/>
      <c r="S45" s="15"/>
      <c r="T45" s="15"/>
      <c r="U45" s="15"/>
      <c r="V45" s="24">
        <f t="shared" si="5"/>
        <v>0</v>
      </c>
      <c r="W45" s="20">
        <f t="shared" si="6"/>
        <v>0</v>
      </c>
    </row>
    <row r="46" ht="15.75" customHeight="1">
      <c r="A46" s="7" t="s">
        <v>144</v>
      </c>
      <c r="V46" s="24">
        <f t="shared" ref="V46:W46" si="7">SUM(V18:V45)</f>
        <v>85</v>
      </c>
      <c r="W46" s="25">
        <f t="shared" si="7"/>
        <v>0</v>
      </c>
    </row>
    <row r="47" ht="15.75" customHeight="1"/>
    <row r="48" ht="15.75" customHeight="1">
      <c r="A48" s="21" t="s">
        <v>146</v>
      </c>
      <c r="B48" s="22" t="s">
        <v>41</v>
      </c>
      <c r="C48" s="22" t="s">
        <v>42</v>
      </c>
      <c r="D48" s="22" t="s">
        <v>43</v>
      </c>
      <c r="E48" s="22" t="s">
        <v>44</v>
      </c>
      <c r="F48" s="22" t="s">
        <v>45</v>
      </c>
      <c r="G48" s="22" t="s">
        <v>46</v>
      </c>
      <c r="H48" s="22" t="s">
        <v>47</v>
      </c>
      <c r="I48" s="22" t="s">
        <v>48</v>
      </c>
      <c r="J48" s="22" t="s">
        <v>49</v>
      </c>
      <c r="K48" s="22" t="s">
        <v>50</v>
      </c>
      <c r="L48" s="22" t="s">
        <v>51</v>
      </c>
      <c r="M48" s="22" t="s">
        <v>52</v>
      </c>
      <c r="N48" s="22" t="s">
        <v>53</v>
      </c>
      <c r="O48" s="22" t="s">
        <v>54</v>
      </c>
      <c r="P48" s="22" t="s">
        <v>55</v>
      </c>
      <c r="Q48" s="22" t="s">
        <v>56</v>
      </c>
      <c r="R48" s="22" t="s">
        <v>57</v>
      </c>
      <c r="S48" s="22" t="s">
        <v>58</v>
      </c>
      <c r="T48" s="22" t="s">
        <v>59</v>
      </c>
      <c r="U48" s="22" t="s">
        <v>60</v>
      </c>
      <c r="V48" s="22" t="s">
        <v>147</v>
      </c>
    </row>
    <row r="49" ht="15.75" customHeight="1">
      <c r="A49" s="23" t="str">
        <f t="shared" ref="A49:A76" si="8">IF($A18="","",$A18)</f>
        <v>Ahmed</v>
      </c>
      <c r="B49" s="15"/>
      <c r="C49" s="15"/>
      <c r="D49" s="15"/>
      <c r="E49" s="15"/>
      <c r="F49" s="15"/>
      <c r="G49" s="15"/>
      <c r="H49" s="15"/>
      <c r="I49" s="15"/>
      <c r="J49" s="15"/>
      <c r="K49" s="15"/>
      <c r="L49" s="15"/>
      <c r="M49" s="15"/>
      <c r="N49" s="15"/>
      <c r="O49" s="15"/>
      <c r="P49" s="15"/>
      <c r="Q49" s="15"/>
      <c r="R49" s="15"/>
      <c r="S49" s="15"/>
      <c r="T49" s="15"/>
      <c r="U49" s="15"/>
      <c r="V49" s="24">
        <f t="shared" ref="V49:V76" si="9">SUMPRODUCT(B49:U49*($B$16:$U$16=""))</f>
        <v>0</v>
      </c>
    </row>
    <row r="50" ht="15.75" customHeight="1">
      <c r="A50" s="23" t="str">
        <f t="shared" si="8"/>
        <v>Alex Ruben</v>
      </c>
      <c r="B50" s="15"/>
      <c r="C50" s="15"/>
      <c r="D50" s="15"/>
      <c r="E50" s="15"/>
      <c r="F50" s="15"/>
      <c r="G50" s="15"/>
      <c r="H50" s="15"/>
      <c r="I50" s="15"/>
      <c r="J50" s="15"/>
      <c r="K50" s="15"/>
      <c r="L50" s="15"/>
      <c r="M50" s="15"/>
      <c r="N50" s="15"/>
      <c r="O50" s="15"/>
      <c r="P50" s="15"/>
      <c r="Q50" s="15"/>
      <c r="R50" s="15"/>
      <c r="S50" s="15"/>
      <c r="T50" s="15"/>
      <c r="U50" s="15"/>
      <c r="V50" s="24">
        <f t="shared" si="9"/>
        <v>0</v>
      </c>
    </row>
    <row r="51" ht="15.75" customHeight="1">
      <c r="A51" s="23" t="str">
        <f t="shared" si="8"/>
        <v>Andy Cowan</v>
      </c>
      <c r="B51" s="15"/>
      <c r="C51" s="15"/>
      <c r="D51" s="15"/>
      <c r="E51" s="15"/>
      <c r="F51" s="15">
        <v>1.0</v>
      </c>
      <c r="G51" s="15"/>
      <c r="H51" s="15">
        <v>1.0</v>
      </c>
      <c r="I51" s="15"/>
      <c r="J51" s="15"/>
      <c r="K51" s="15"/>
      <c r="L51" s="15"/>
      <c r="M51" s="15"/>
      <c r="N51" s="15"/>
      <c r="O51" s="15"/>
      <c r="P51" s="15"/>
      <c r="Q51" s="15"/>
      <c r="R51" s="15"/>
      <c r="S51" s="15"/>
      <c r="T51" s="15"/>
      <c r="U51" s="15"/>
      <c r="V51" s="24">
        <f t="shared" si="9"/>
        <v>2</v>
      </c>
    </row>
    <row r="52" ht="15.75" customHeight="1">
      <c r="A52" s="23" t="str">
        <f t="shared" si="8"/>
        <v>Ben Merrett</v>
      </c>
      <c r="B52" s="15"/>
      <c r="C52" s="15"/>
      <c r="D52" s="15"/>
      <c r="E52" s="15"/>
      <c r="F52" s="15"/>
      <c r="G52" s="15"/>
      <c r="H52" s="15"/>
      <c r="I52" s="15"/>
      <c r="J52" s="15"/>
      <c r="K52" s="15"/>
      <c r="L52" s="15"/>
      <c r="M52" s="15"/>
      <c r="N52" s="15"/>
      <c r="O52" s="15"/>
      <c r="P52" s="15"/>
      <c r="Q52" s="15"/>
      <c r="R52" s="15"/>
      <c r="S52" s="15"/>
      <c r="T52" s="15"/>
      <c r="U52" s="15"/>
      <c r="V52" s="24">
        <f t="shared" si="9"/>
        <v>0</v>
      </c>
    </row>
    <row r="53" ht="15.75" customHeight="1">
      <c r="A53" s="23" t="str">
        <f t="shared" si="8"/>
        <v>Callum McCarthy</v>
      </c>
      <c r="B53" s="15">
        <v>1.0</v>
      </c>
      <c r="C53" s="15"/>
      <c r="D53" s="15"/>
      <c r="E53" s="15"/>
      <c r="F53" s="15"/>
      <c r="G53" s="15"/>
      <c r="H53" s="15">
        <v>1.0</v>
      </c>
      <c r="I53" s="15"/>
      <c r="J53" s="15"/>
      <c r="K53" s="15"/>
      <c r="L53" s="15"/>
      <c r="M53" s="15"/>
      <c r="N53" s="15"/>
      <c r="O53" s="15"/>
      <c r="P53" s="15"/>
      <c r="Q53" s="15"/>
      <c r="R53" s="15"/>
      <c r="S53" s="15"/>
      <c r="T53" s="15"/>
      <c r="U53" s="15"/>
      <c r="V53" s="24">
        <f t="shared" si="9"/>
        <v>2</v>
      </c>
    </row>
    <row r="54" ht="15.75" customHeight="1">
      <c r="A54" s="23" t="str">
        <f t="shared" si="8"/>
        <v>Cecil Watson</v>
      </c>
      <c r="B54" s="15"/>
      <c r="C54" s="15"/>
      <c r="D54" s="15"/>
      <c r="E54" s="15"/>
      <c r="F54" s="15"/>
      <c r="G54" s="15"/>
      <c r="H54" s="15"/>
      <c r="I54" s="15"/>
      <c r="J54" s="15"/>
      <c r="K54" s="15"/>
      <c r="L54" s="15"/>
      <c r="M54" s="15"/>
      <c r="N54" s="15"/>
      <c r="O54" s="15"/>
      <c r="P54" s="15"/>
      <c r="Q54" s="15"/>
      <c r="R54" s="15"/>
      <c r="S54" s="15"/>
      <c r="T54" s="15"/>
      <c r="U54" s="15"/>
      <c r="V54" s="24">
        <f t="shared" si="9"/>
        <v>0</v>
      </c>
    </row>
    <row r="55" ht="15.75" customHeight="1">
      <c r="A55" s="23" t="str">
        <f t="shared" si="8"/>
        <v>Conall Templeman</v>
      </c>
      <c r="B55" s="15"/>
      <c r="C55" s="15"/>
      <c r="D55" s="15"/>
      <c r="E55" s="15"/>
      <c r="F55" s="15"/>
      <c r="G55" s="15"/>
      <c r="H55" s="15"/>
      <c r="I55" s="15"/>
      <c r="J55" s="15"/>
      <c r="K55" s="15"/>
      <c r="L55" s="15"/>
      <c r="M55" s="15"/>
      <c r="N55" s="15"/>
      <c r="O55" s="15"/>
      <c r="P55" s="15"/>
      <c r="Q55" s="15"/>
      <c r="R55" s="15"/>
      <c r="S55" s="15"/>
      <c r="T55" s="15"/>
      <c r="U55" s="15"/>
      <c r="V55" s="24">
        <f t="shared" si="9"/>
        <v>0</v>
      </c>
    </row>
    <row r="56" ht="15.75" customHeight="1">
      <c r="A56" s="23" t="str">
        <f t="shared" si="8"/>
        <v>Eddie Ringer</v>
      </c>
      <c r="B56" s="15"/>
      <c r="C56" s="15"/>
      <c r="D56" s="15"/>
      <c r="E56" s="15"/>
      <c r="F56" s="15"/>
      <c r="G56" s="15"/>
      <c r="H56" s="15"/>
      <c r="I56" s="15"/>
      <c r="J56" s="15"/>
      <c r="K56" s="15"/>
      <c r="L56" s="15"/>
      <c r="M56" s="15"/>
      <c r="N56" s="15"/>
      <c r="O56" s="15"/>
      <c r="P56" s="15"/>
      <c r="Q56" s="15"/>
      <c r="R56" s="15"/>
      <c r="S56" s="15"/>
      <c r="T56" s="15"/>
      <c r="U56" s="15"/>
      <c r="V56" s="24">
        <f t="shared" si="9"/>
        <v>0</v>
      </c>
    </row>
    <row r="57" ht="15.75" customHeight="1">
      <c r="A57" s="23" t="str">
        <f t="shared" si="8"/>
        <v>Finn Cawley</v>
      </c>
      <c r="B57" s="15"/>
      <c r="C57" s="15"/>
      <c r="D57" s="15"/>
      <c r="E57" s="15">
        <v>1.0</v>
      </c>
      <c r="F57" s="15"/>
      <c r="G57" s="15"/>
      <c r="H57" s="15"/>
      <c r="I57" s="15"/>
      <c r="J57" s="15"/>
      <c r="K57" s="15"/>
      <c r="L57" s="15"/>
      <c r="M57" s="15"/>
      <c r="N57" s="15"/>
      <c r="O57" s="15"/>
      <c r="P57" s="15"/>
      <c r="Q57" s="15"/>
      <c r="R57" s="15"/>
      <c r="S57" s="15"/>
      <c r="T57" s="15"/>
      <c r="U57" s="15"/>
      <c r="V57" s="24">
        <f t="shared" si="9"/>
        <v>1</v>
      </c>
    </row>
    <row r="58" ht="15.75" customHeight="1">
      <c r="A58" s="23" t="str">
        <f t="shared" si="8"/>
        <v>George Barbantan</v>
      </c>
      <c r="B58" s="15"/>
      <c r="C58" s="15"/>
      <c r="D58" s="15"/>
      <c r="E58" s="15"/>
      <c r="F58" s="15"/>
      <c r="G58" s="15">
        <v>1.0</v>
      </c>
      <c r="H58" s="15"/>
      <c r="I58" s="15"/>
      <c r="J58" s="15"/>
      <c r="K58" s="15"/>
      <c r="L58" s="15"/>
      <c r="M58" s="15"/>
      <c r="N58" s="15"/>
      <c r="O58" s="15"/>
      <c r="P58" s="15"/>
      <c r="Q58" s="15"/>
      <c r="R58" s="15"/>
      <c r="S58" s="15"/>
      <c r="T58" s="15"/>
      <c r="U58" s="15"/>
      <c r="V58" s="24">
        <f t="shared" si="9"/>
        <v>1</v>
      </c>
    </row>
    <row r="59" ht="15.75" customHeight="1">
      <c r="A59" s="23" t="str">
        <f t="shared" si="8"/>
        <v>Henry Linklater</v>
      </c>
      <c r="B59" s="15"/>
      <c r="C59" s="15"/>
      <c r="D59" s="15"/>
      <c r="E59" s="15"/>
      <c r="F59" s="15"/>
      <c r="G59" s="15"/>
      <c r="H59" s="15"/>
      <c r="I59" s="15"/>
      <c r="J59" s="15"/>
      <c r="K59" s="15"/>
      <c r="L59" s="15"/>
      <c r="M59" s="15"/>
      <c r="N59" s="15"/>
      <c r="O59" s="15"/>
      <c r="P59" s="15"/>
      <c r="Q59" s="15"/>
      <c r="R59" s="15"/>
      <c r="S59" s="15"/>
      <c r="T59" s="15"/>
      <c r="U59" s="15"/>
      <c r="V59" s="24">
        <f t="shared" si="9"/>
        <v>0</v>
      </c>
    </row>
    <row r="60" ht="15.75" customHeight="1">
      <c r="A60" s="23" t="str">
        <f t="shared" si="8"/>
        <v>Isaac Mond</v>
      </c>
      <c r="B60" s="15"/>
      <c r="C60" s="15"/>
      <c r="D60" s="15"/>
      <c r="E60" s="15"/>
      <c r="F60" s="15"/>
      <c r="G60" s="15"/>
      <c r="H60" s="15"/>
      <c r="I60" s="15"/>
      <c r="J60" s="15"/>
      <c r="K60" s="15"/>
      <c r="L60" s="15"/>
      <c r="M60" s="15"/>
      <c r="N60" s="15"/>
      <c r="O60" s="15"/>
      <c r="P60" s="15"/>
      <c r="Q60" s="15"/>
      <c r="R60" s="15"/>
      <c r="S60" s="15"/>
      <c r="T60" s="15"/>
      <c r="U60" s="15"/>
      <c r="V60" s="24">
        <f t="shared" si="9"/>
        <v>0</v>
      </c>
    </row>
    <row r="61" ht="15.75" customHeight="1">
      <c r="A61" s="23" t="str">
        <f t="shared" si="8"/>
        <v>Jake Harrison</v>
      </c>
      <c r="B61" s="15"/>
      <c r="C61" s="15"/>
      <c r="D61" s="15"/>
      <c r="E61" s="15"/>
      <c r="F61" s="15"/>
      <c r="G61" s="15"/>
      <c r="H61" s="15"/>
      <c r="I61" s="15"/>
      <c r="J61" s="15"/>
      <c r="K61" s="15"/>
      <c r="L61" s="15"/>
      <c r="M61" s="15"/>
      <c r="N61" s="15"/>
      <c r="O61" s="15"/>
      <c r="P61" s="15"/>
      <c r="Q61" s="15"/>
      <c r="R61" s="15"/>
      <c r="S61" s="15"/>
      <c r="T61" s="15"/>
      <c r="U61" s="15"/>
      <c r="V61" s="24">
        <f t="shared" si="9"/>
        <v>0</v>
      </c>
    </row>
    <row r="62" ht="15.75" customHeight="1">
      <c r="A62" s="23" t="str">
        <f t="shared" si="8"/>
        <v>Jake Ringer</v>
      </c>
      <c r="B62" s="15"/>
      <c r="C62" s="15"/>
      <c r="D62" s="15"/>
      <c r="E62" s="15"/>
      <c r="F62" s="15"/>
      <c r="G62" s="15"/>
      <c r="H62" s="15"/>
      <c r="I62" s="15"/>
      <c r="J62" s="15"/>
      <c r="K62" s="15"/>
      <c r="L62" s="15"/>
      <c r="M62" s="15"/>
      <c r="N62" s="15"/>
      <c r="O62" s="15"/>
      <c r="P62" s="15"/>
      <c r="Q62" s="15"/>
      <c r="R62" s="15"/>
      <c r="S62" s="15"/>
      <c r="T62" s="15"/>
      <c r="U62" s="15"/>
      <c r="V62" s="24">
        <f t="shared" si="9"/>
        <v>0</v>
      </c>
    </row>
    <row r="63" ht="15.75" customHeight="1">
      <c r="A63" s="23" t="str">
        <f t="shared" si="8"/>
        <v>Keshav Singh</v>
      </c>
      <c r="B63" s="15"/>
      <c r="C63" s="15"/>
      <c r="D63" s="15"/>
      <c r="E63" s="15"/>
      <c r="F63" s="15"/>
      <c r="G63" s="15"/>
      <c r="H63" s="15"/>
      <c r="I63" s="15"/>
      <c r="J63" s="15"/>
      <c r="K63" s="15"/>
      <c r="L63" s="15"/>
      <c r="M63" s="15"/>
      <c r="N63" s="15"/>
      <c r="O63" s="15"/>
      <c r="P63" s="15"/>
      <c r="Q63" s="15"/>
      <c r="R63" s="15"/>
      <c r="S63" s="15"/>
      <c r="T63" s="15"/>
      <c r="U63" s="15"/>
      <c r="V63" s="24">
        <f t="shared" si="9"/>
        <v>0</v>
      </c>
    </row>
    <row r="64" ht="15.75" customHeight="1">
      <c r="A64" s="23" t="str">
        <f t="shared" si="8"/>
        <v>Mark Pellowe</v>
      </c>
      <c r="B64" s="15"/>
      <c r="C64" s="15"/>
      <c r="D64" s="15"/>
      <c r="E64" s="15"/>
      <c r="F64" s="15"/>
      <c r="G64" s="15"/>
      <c r="H64" s="15"/>
      <c r="I64" s="15"/>
      <c r="J64" s="15"/>
      <c r="K64" s="15"/>
      <c r="L64" s="15"/>
      <c r="M64" s="15"/>
      <c r="N64" s="15"/>
      <c r="O64" s="15"/>
      <c r="P64" s="15"/>
      <c r="Q64" s="15"/>
      <c r="R64" s="15"/>
      <c r="S64" s="15"/>
      <c r="T64" s="15"/>
      <c r="U64" s="15"/>
      <c r="V64" s="24">
        <f t="shared" si="9"/>
        <v>0</v>
      </c>
    </row>
    <row r="65" ht="15.75" customHeight="1">
      <c r="A65" s="23" t="str">
        <f t="shared" si="8"/>
        <v>Max Cobain</v>
      </c>
      <c r="B65" s="15"/>
      <c r="C65" s="15"/>
      <c r="D65" s="15"/>
      <c r="E65" s="15"/>
      <c r="F65" s="15"/>
      <c r="G65" s="15"/>
      <c r="H65" s="15"/>
      <c r="I65" s="15">
        <v>1.0</v>
      </c>
      <c r="J65" s="15"/>
      <c r="K65" s="15"/>
      <c r="L65" s="15"/>
      <c r="M65" s="15"/>
      <c r="N65" s="15"/>
      <c r="O65" s="15"/>
      <c r="P65" s="15"/>
      <c r="Q65" s="15"/>
      <c r="R65" s="15"/>
      <c r="S65" s="15"/>
      <c r="T65" s="15"/>
      <c r="U65" s="15"/>
      <c r="V65" s="24">
        <f t="shared" si="9"/>
        <v>1</v>
      </c>
    </row>
    <row r="66" ht="15.75" customHeight="1">
      <c r="A66" s="23" t="str">
        <f t="shared" si="8"/>
        <v>Neeraj Radia</v>
      </c>
      <c r="B66" s="15"/>
      <c r="C66" s="15"/>
      <c r="D66" s="15"/>
      <c r="E66" s="15"/>
      <c r="F66" s="15"/>
      <c r="G66" s="15"/>
      <c r="H66" s="15"/>
      <c r="I66" s="15"/>
      <c r="J66" s="15"/>
      <c r="K66" s="15"/>
      <c r="L66" s="15"/>
      <c r="M66" s="15"/>
      <c r="N66" s="15"/>
      <c r="O66" s="15"/>
      <c r="P66" s="15"/>
      <c r="Q66" s="15"/>
      <c r="R66" s="15"/>
      <c r="S66" s="15"/>
      <c r="T66" s="15"/>
      <c r="U66" s="15"/>
      <c r="V66" s="24">
        <f t="shared" si="9"/>
        <v>0</v>
      </c>
    </row>
    <row r="67" ht="15.75" customHeight="1">
      <c r="A67" s="23" t="str">
        <f t="shared" si="8"/>
        <v>Phil Knott</v>
      </c>
      <c r="B67" s="15">
        <v>1.0</v>
      </c>
      <c r="C67" s="15"/>
      <c r="D67" s="15"/>
      <c r="E67" s="15">
        <v>1.0</v>
      </c>
      <c r="F67" s="15"/>
      <c r="G67" s="15"/>
      <c r="H67" s="15"/>
      <c r="I67" s="15"/>
      <c r="J67" s="15"/>
      <c r="K67" s="15"/>
      <c r="L67" s="15"/>
      <c r="M67" s="15"/>
      <c r="N67" s="15"/>
      <c r="O67" s="15"/>
      <c r="P67" s="15"/>
      <c r="Q67" s="15"/>
      <c r="R67" s="15"/>
      <c r="S67" s="15"/>
      <c r="T67" s="15"/>
      <c r="U67" s="15"/>
      <c r="V67" s="24">
        <f t="shared" si="9"/>
        <v>2</v>
      </c>
    </row>
    <row r="68" ht="15.75" customHeight="1">
      <c r="A68" s="23" t="str">
        <f t="shared" si="8"/>
        <v>Robin</v>
      </c>
      <c r="B68" s="15"/>
      <c r="C68" s="15"/>
      <c r="D68" s="15"/>
      <c r="E68" s="15"/>
      <c r="F68" s="15"/>
      <c r="G68" s="15"/>
      <c r="H68" s="15"/>
      <c r="I68" s="15"/>
      <c r="J68" s="15"/>
      <c r="K68" s="15"/>
      <c r="L68" s="15"/>
      <c r="M68" s="15"/>
      <c r="N68" s="15"/>
      <c r="O68" s="15"/>
      <c r="P68" s="15"/>
      <c r="Q68" s="15"/>
      <c r="R68" s="15"/>
      <c r="S68" s="15"/>
      <c r="T68" s="15"/>
      <c r="U68" s="15"/>
      <c r="V68" s="24">
        <f t="shared" si="9"/>
        <v>0</v>
      </c>
    </row>
    <row r="69" ht="15.75" customHeight="1">
      <c r="A69" s="23" t="str">
        <f t="shared" si="8"/>
        <v>Sam Holt</v>
      </c>
      <c r="B69" s="15"/>
      <c r="C69" s="15"/>
      <c r="D69" s="15"/>
      <c r="E69" s="15"/>
      <c r="F69" s="15"/>
      <c r="G69" s="15"/>
      <c r="H69" s="15"/>
      <c r="I69" s="15"/>
      <c r="J69" s="15"/>
      <c r="K69" s="15"/>
      <c r="L69" s="15"/>
      <c r="M69" s="15"/>
      <c r="N69" s="15"/>
      <c r="O69" s="15"/>
      <c r="P69" s="15"/>
      <c r="Q69" s="15"/>
      <c r="R69" s="15"/>
      <c r="S69" s="15"/>
      <c r="T69" s="15"/>
      <c r="U69" s="15"/>
      <c r="V69" s="24">
        <f t="shared" si="9"/>
        <v>0</v>
      </c>
    </row>
    <row r="70" ht="15.75" customHeight="1">
      <c r="A70" s="23" t="str">
        <f t="shared" si="8"/>
        <v>Seb Burgess</v>
      </c>
      <c r="B70" s="15"/>
      <c r="C70" s="15">
        <v>2.0</v>
      </c>
      <c r="D70" s="15"/>
      <c r="E70" s="15">
        <v>2.0</v>
      </c>
      <c r="F70" s="15">
        <v>1.0</v>
      </c>
      <c r="G70" s="15">
        <v>1.0</v>
      </c>
      <c r="H70" s="15">
        <v>2.0</v>
      </c>
      <c r="I70" s="15">
        <v>1.0</v>
      </c>
      <c r="J70" s="15"/>
      <c r="K70" s="15"/>
      <c r="L70" s="15">
        <v>5.0</v>
      </c>
      <c r="M70" s="15"/>
      <c r="N70" s="15"/>
      <c r="O70" s="15"/>
      <c r="P70" s="15"/>
      <c r="Q70" s="15"/>
      <c r="R70" s="15"/>
      <c r="S70" s="15"/>
      <c r="T70" s="15"/>
      <c r="U70" s="15"/>
      <c r="V70" s="24">
        <f t="shared" si="9"/>
        <v>14</v>
      </c>
    </row>
    <row r="71" ht="15.75" customHeight="1">
      <c r="A71" s="23" t="str">
        <f t="shared" si="8"/>
        <v/>
      </c>
      <c r="B71" s="15"/>
      <c r="C71" s="15"/>
      <c r="D71" s="15"/>
      <c r="E71" s="15"/>
      <c r="F71" s="15"/>
      <c r="G71" s="15"/>
      <c r="H71" s="15"/>
      <c r="I71" s="15"/>
      <c r="J71" s="15"/>
      <c r="K71" s="15"/>
      <c r="L71" s="15"/>
      <c r="M71" s="15"/>
      <c r="N71" s="15"/>
      <c r="O71" s="15"/>
      <c r="P71" s="15"/>
      <c r="Q71" s="15"/>
      <c r="R71" s="15"/>
      <c r="S71" s="15"/>
      <c r="T71" s="15"/>
      <c r="U71" s="15"/>
      <c r="V71" s="24">
        <f t="shared" si="9"/>
        <v>0</v>
      </c>
    </row>
    <row r="72" ht="15.75" customHeight="1">
      <c r="A72" s="23" t="str">
        <f t="shared" si="8"/>
        <v/>
      </c>
      <c r="B72" s="15"/>
      <c r="C72" s="15"/>
      <c r="D72" s="15"/>
      <c r="E72" s="15"/>
      <c r="F72" s="15"/>
      <c r="G72" s="15"/>
      <c r="H72" s="15"/>
      <c r="I72" s="15"/>
      <c r="J72" s="15"/>
      <c r="K72" s="15"/>
      <c r="L72" s="15"/>
      <c r="M72" s="15"/>
      <c r="N72" s="15"/>
      <c r="O72" s="15"/>
      <c r="P72" s="15"/>
      <c r="Q72" s="15"/>
      <c r="R72" s="15"/>
      <c r="S72" s="15"/>
      <c r="T72" s="15"/>
      <c r="U72" s="15"/>
      <c r="V72" s="24">
        <f t="shared" si="9"/>
        <v>0</v>
      </c>
    </row>
    <row r="73" ht="15.75" customHeight="1">
      <c r="A73" s="23" t="str">
        <f t="shared" si="8"/>
        <v/>
      </c>
      <c r="B73" s="15"/>
      <c r="C73" s="15"/>
      <c r="D73" s="15"/>
      <c r="E73" s="15"/>
      <c r="F73" s="15"/>
      <c r="G73" s="15"/>
      <c r="H73" s="15"/>
      <c r="I73" s="15"/>
      <c r="J73" s="15"/>
      <c r="K73" s="15"/>
      <c r="L73" s="15"/>
      <c r="M73" s="15"/>
      <c r="N73" s="15"/>
      <c r="O73" s="15"/>
      <c r="P73" s="15"/>
      <c r="Q73" s="15"/>
      <c r="R73" s="15"/>
      <c r="S73" s="15"/>
      <c r="T73" s="15"/>
      <c r="U73" s="15"/>
      <c r="V73" s="24">
        <f t="shared" si="9"/>
        <v>0</v>
      </c>
    </row>
    <row r="74" ht="15.75" customHeight="1">
      <c r="A74" s="23" t="str">
        <f t="shared" si="8"/>
        <v/>
      </c>
      <c r="B74" s="15"/>
      <c r="C74" s="15"/>
      <c r="D74" s="15"/>
      <c r="E74" s="15"/>
      <c r="F74" s="15"/>
      <c r="G74" s="15"/>
      <c r="H74" s="15"/>
      <c r="I74" s="15"/>
      <c r="J74" s="15"/>
      <c r="K74" s="15"/>
      <c r="L74" s="15"/>
      <c r="M74" s="15"/>
      <c r="N74" s="15"/>
      <c r="O74" s="15"/>
      <c r="P74" s="15"/>
      <c r="Q74" s="15"/>
      <c r="R74" s="15"/>
      <c r="S74" s="15"/>
      <c r="T74" s="15"/>
      <c r="U74" s="15"/>
      <c r="V74" s="24">
        <f t="shared" si="9"/>
        <v>0</v>
      </c>
    </row>
    <row r="75" ht="15.75" customHeight="1">
      <c r="A75" s="23" t="str">
        <f t="shared" si="8"/>
        <v/>
      </c>
      <c r="B75" s="15"/>
      <c r="C75" s="15"/>
      <c r="D75" s="15"/>
      <c r="E75" s="15"/>
      <c r="F75" s="15"/>
      <c r="G75" s="15"/>
      <c r="H75" s="15"/>
      <c r="I75" s="15"/>
      <c r="J75" s="15"/>
      <c r="K75" s="15"/>
      <c r="L75" s="15"/>
      <c r="M75" s="15"/>
      <c r="N75" s="15"/>
      <c r="O75" s="15"/>
      <c r="P75" s="15"/>
      <c r="Q75" s="15"/>
      <c r="R75" s="15"/>
      <c r="S75" s="15"/>
      <c r="T75" s="15"/>
      <c r="U75" s="15"/>
      <c r="V75" s="24">
        <f t="shared" si="9"/>
        <v>0</v>
      </c>
    </row>
    <row r="76" ht="15.75" customHeight="1">
      <c r="A76" s="23" t="str">
        <f t="shared" si="8"/>
        <v/>
      </c>
      <c r="B76" s="15"/>
      <c r="C76" s="15"/>
      <c r="D76" s="15"/>
      <c r="E76" s="15"/>
      <c r="F76" s="15"/>
      <c r="G76" s="15"/>
      <c r="H76" s="15"/>
      <c r="I76" s="15"/>
      <c r="J76" s="15"/>
      <c r="K76" s="15"/>
      <c r="L76" s="15"/>
      <c r="M76" s="15"/>
      <c r="N76" s="15"/>
      <c r="O76" s="15"/>
      <c r="P76" s="15"/>
      <c r="Q76" s="15"/>
      <c r="R76" s="15"/>
      <c r="S76" s="15"/>
      <c r="T76" s="15"/>
      <c r="U76" s="15"/>
      <c r="V76" s="24">
        <f t="shared" si="9"/>
        <v>0</v>
      </c>
    </row>
    <row r="77" ht="15.75" customHeight="1">
      <c r="A77" s="7" t="s">
        <v>144</v>
      </c>
      <c r="V77" s="24">
        <f>SUM(V49:V76)</f>
        <v>23</v>
      </c>
    </row>
    <row r="78" ht="15.75" customHeight="1"/>
    <row r="79" ht="15.75" customHeight="1">
      <c r="A79" s="21" t="s">
        <v>148</v>
      </c>
      <c r="B79" s="22" t="s">
        <v>41</v>
      </c>
      <c r="C79" s="22" t="s">
        <v>42</v>
      </c>
      <c r="D79" s="22" t="s">
        <v>43</v>
      </c>
      <c r="E79" s="22" t="s">
        <v>44</v>
      </c>
      <c r="F79" s="22" t="s">
        <v>45</v>
      </c>
      <c r="G79" s="22" t="s">
        <v>46</v>
      </c>
      <c r="H79" s="22" t="s">
        <v>47</v>
      </c>
      <c r="I79" s="22" t="s">
        <v>48</v>
      </c>
      <c r="J79" s="22" t="s">
        <v>49</v>
      </c>
      <c r="K79" s="22" t="s">
        <v>50</v>
      </c>
      <c r="L79" s="22" t="s">
        <v>51</v>
      </c>
      <c r="M79" s="22" t="s">
        <v>52</v>
      </c>
      <c r="N79" s="22" t="s">
        <v>53</v>
      </c>
      <c r="O79" s="22" t="s">
        <v>54</v>
      </c>
      <c r="P79" s="22" t="s">
        <v>55</v>
      </c>
      <c r="Q79" s="22" t="s">
        <v>56</v>
      </c>
      <c r="R79" s="22" t="s">
        <v>57</v>
      </c>
      <c r="S79" s="22" t="s">
        <v>58</v>
      </c>
      <c r="T79" s="22" t="s">
        <v>59</v>
      </c>
      <c r="U79" s="22" t="s">
        <v>60</v>
      </c>
      <c r="V79" s="22" t="s">
        <v>149</v>
      </c>
    </row>
    <row r="80" ht="15.75" customHeight="1">
      <c r="A80" s="23" t="str">
        <f t="shared" ref="A80:A107" si="10">IF($A18="","",$A18)</f>
        <v>Ahmed</v>
      </c>
      <c r="B80" s="15"/>
      <c r="C80" s="15"/>
      <c r="D80" s="15"/>
      <c r="E80" s="15"/>
      <c r="F80" s="15"/>
      <c r="G80" s="15"/>
      <c r="H80" s="15"/>
      <c r="I80" s="15"/>
      <c r="J80" s="15"/>
      <c r="K80" s="15"/>
      <c r="L80" s="15"/>
      <c r="M80" s="15"/>
      <c r="N80" s="15"/>
      <c r="O80" s="15"/>
      <c r="P80" s="15"/>
      <c r="Q80" s="15"/>
      <c r="R80" s="15"/>
      <c r="S80" s="15"/>
      <c r="T80" s="15"/>
      <c r="U80" s="15"/>
      <c r="V80" s="24">
        <f t="shared" ref="V80:V107" si="11">SUMPRODUCT(B80:U80*($B$16:$U$16=""))</f>
        <v>0</v>
      </c>
    </row>
    <row r="81" ht="15.75" customHeight="1">
      <c r="A81" s="23" t="str">
        <f t="shared" si="10"/>
        <v>Alex Ruben</v>
      </c>
      <c r="B81" s="15"/>
      <c r="C81" s="15"/>
      <c r="D81" s="15"/>
      <c r="E81" s="15"/>
      <c r="F81" s="15"/>
      <c r="G81" s="15"/>
      <c r="H81" s="15"/>
      <c r="I81" s="15"/>
      <c r="J81" s="15"/>
      <c r="K81" s="15"/>
      <c r="L81" s="15"/>
      <c r="M81" s="15"/>
      <c r="N81" s="15"/>
      <c r="O81" s="15"/>
      <c r="P81" s="15"/>
      <c r="Q81" s="15"/>
      <c r="R81" s="15"/>
      <c r="S81" s="15"/>
      <c r="T81" s="15"/>
      <c r="U81" s="15"/>
      <c r="V81" s="24">
        <f t="shared" si="11"/>
        <v>0</v>
      </c>
    </row>
    <row r="82" ht="15.75" customHeight="1">
      <c r="A82" s="23" t="str">
        <f t="shared" si="10"/>
        <v>Andy Cowan</v>
      </c>
      <c r="B82" s="15"/>
      <c r="C82" s="15"/>
      <c r="D82" s="15"/>
      <c r="E82" s="15"/>
      <c r="F82" s="15"/>
      <c r="G82" s="15"/>
      <c r="H82" s="15"/>
      <c r="I82" s="15"/>
      <c r="J82" s="15"/>
      <c r="K82" s="15"/>
      <c r="L82" s="15"/>
      <c r="M82" s="15"/>
      <c r="N82" s="15"/>
      <c r="O82" s="15"/>
      <c r="P82" s="15"/>
      <c r="Q82" s="15"/>
      <c r="R82" s="15"/>
      <c r="S82" s="15"/>
      <c r="T82" s="15"/>
      <c r="U82" s="15"/>
      <c r="V82" s="24">
        <f t="shared" si="11"/>
        <v>0</v>
      </c>
    </row>
    <row r="83" ht="15.75" customHeight="1">
      <c r="A83" s="23" t="str">
        <f t="shared" si="10"/>
        <v>Ben Merrett</v>
      </c>
      <c r="B83" s="15"/>
      <c r="C83" s="15"/>
      <c r="D83" s="15"/>
      <c r="E83" s="15"/>
      <c r="F83" s="15"/>
      <c r="G83" s="15"/>
      <c r="H83" s="15"/>
      <c r="I83" s="15"/>
      <c r="J83" s="15"/>
      <c r="K83" s="15"/>
      <c r="L83" s="15"/>
      <c r="M83" s="15"/>
      <c r="N83" s="15"/>
      <c r="O83" s="15"/>
      <c r="P83" s="15"/>
      <c r="Q83" s="15"/>
      <c r="R83" s="15"/>
      <c r="S83" s="15"/>
      <c r="T83" s="15"/>
      <c r="U83" s="15"/>
      <c r="V83" s="24">
        <f t="shared" si="11"/>
        <v>0</v>
      </c>
    </row>
    <row r="84" ht="15.75" customHeight="1">
      <c r="A84" s="23" t="str">
        <f t="shared" si="10"/>
        <v>Callum McCarthy</v>
      </c>
      <c r="B84" s="15"/>
      <c r="C84" s="15"/>
      <c r="D84" s="15"/>
      <c r="E84" s="15"/>
      <c r="F84" s="15"/>
      <c r="G84" s="15"/>
      <c r="H84" s="15"/>
      <c r="I84" s="15"/>
      <c r="J84" s="15"/>
      <c r="K84" s="15"/>
      <c r="L84" s="15"/>
      <c r="M84" s="15"/>
      <c r="N84" s="15"/>
      <c r="O84" s="15"/>
      <c r="P84" s="15"/>
      <c r="Q84" s="15"/>
      <c r="R84" s="15"/>
      <c r="S84" s="15"/>
      <c r="T84" s="15"/>
      <c r="U84" s="15"/>
      <c r="V84" s="24">
        <f t="shared" si="11"/>
        <v>0</v>
      </c>
    </row>
    <row r="85" ht="15.75" customHeight="1">
      <c r="A85" s="23" t="str">
        <f t="shared" si="10"/>
        <v>Cecil Watson</v>
      </c>
      <c r="B85" s="15"/>
      <c r="C85" s="15"/>
      <c r="D85" s="15"/>
      <c r="E85" s="15"/>
      <c r="F85" s="15"/>
      <c r="G85" s="15"/>
      <c r="H85" s="15"/>
      <c r="I85" s="15"/>
      <c r="J85" s="15"/>
      <c r="K85" s="15"/>
      <c r="L85" s="15"/>
      <c r="M85" s="15"/>
      <c r="N85" s="15"/>
      <c r="O85" s="15"/>
      <c r="P85" s="15"/>
      <c r="Q85" s="15"/>
      <c r="R85" s="15"/>
      <c r="S85" s="15"/>
      <c r="T85" s="15"/>
      <c r="U85" s="15"/>
      <c r="V85" s="24">
        <f t="shared" si="11"/>
        <v>0</v>
      </c>
    </row>
    <row r="86" ht="15.75" customHeight="1">
      <c r="A86" s="23" t="str">
        <f t="shared" si="10"/>
        <v>Conall Templeman</v>
      </c>
      <c r="B86" s="15"/>
      <c r="C86" s="15"/>
      <c r="D86" s="15"/>
      <c r="E86" s="15"/>
      <c r="F86" s="15"/>
      <c r="G86" s="15"/>
      <c r="H86" s="15"/>
      <c r="I86" s="15"/>
      <c r="J86" s="15"/>
      <c r="K86" s="15"/>
      <c r="L86" s="15"/>
      <c r="M86" s="15"/>
      <c r="N86" s="15"/>
      <c r="O86" s="15"/>
      <c r="P86" s="15"/>
      <c r="Q86" s="15"/>
      <c r="R86" s="15"/>
      <c r="S86" s="15"/>
      <c r="T86" s="15"/>
      <c r="U86" s="15"/>
      <c r="V86" s="24">
        <f t="shared" si="11"/>
        <v>0</v>
      </c>
    </row>
    <row r="87" ht="15.75" customHeight="1">
      <c r="A87" s="23" t="str">
        <f t="shared" si="10"/>
        <v>Eddie Ringer</v>
      </c>
      <c r="B87" s="15"/>
      <c r="C87" s="15"/>
      <c r="D87" s="15"/>
      <c r="E87" s="15"/>
      <c r="F87" s="15"/>
      <c r="G87" s="15"/>
      <c r="H87" s="15"/>
      <c r="I87" s="15"/>
      <c r="J87" s="15"/>
      <c r="K87" s="15"/>
      <c r="L87" s="15"/>
      <c r="M87" s="15"/>
      <c r="N87" s="15"/>
      <c r="O87" s="15"/>
      <c r="P87" s="15"/>
      <c r="Q87" s="15"/>
      <c r="R87" s="15"/>
      <c r="S87" s="15"/>
      <c r="T87" s="15"/>
      <c r="U87" s="15"/>
      <c r="V87" s="24">
        <f t="shared" si="11"/>
        <v>0</v>
      </c>
    </row>
    <row r="88" ht="15.75" customHeight="1">
      <c r="A88" s="23" t="str">
        <f t="shared" si="10"/>
        <v>Finn Cawley</v>
      </c>
      <c r="B88" s="15"/>
      <c r="C88" s="15"/>
      <c r="D88" s="15"/>
      <c r="E88" s="15"/>
      <c r="F88" s="15"/>
      <c r="G88" s="15"/>
      <c r="H88" s="15"/>
      <c r="I88" s="15"/>
      <c r="J88" s="15"/>
      <c r="K88" s="15"/>
      <c r="L88" s="15"/>
      <c r="M88" s="15"/>
      <c r="N88" s="15"/>
      <c r="O88" s="15"/>
      <c r="P88" s="15"/>
      <c r="Q88" s="15"/>
      <c r="R88" s="15"/>
      <c r="S88" s="15"/>
      <c r="T88" s="15"/>
      <c r="U88" s="15"/>
      <c r="V88" s="24">
        <f t="shared" si="11"/>
        <v>0</v>
      </c>
    </row>
    <row r="89" ht="15.75" customHeight="1">
      <c r="A89" s="23" t="str">
        <f t="shared" si="10"/>
        <v>George Barbantan</v>
      </c>
      <c r="B89" s="15"/>
      <c r="C89" s="15"/>
      <c r="D89" s="15"/>
      <c r="E89" s="15"/>
      <c r="F89" s="15"/>
      <c r="G89" s="15"/>
      <c r="H89" s="15"/>
      <c r="I89" s="15"/>
      <c r="J89" s="15"/>
      <c r="K89" s="15"/>
      <c r="L89" s="15"/>
      <c r="M89" s="15"/>
      <c r="N89" s="15"/>
      <c r="O89" s="15"/>
      <c r="P89" s="15"/>
      <c r="Q89" s="15"/>
      <c r="R89" s="15"/>
      <c r="S89" s="15"/>
      <c r="T89" s="15"/>
      <c r="U89" s="15"/>
      <c r="V89" s="24">
        <f t="shared" si="11"/>
        <v>0</v>
      </c>
    </row>
    <row r="90" ht="15.75" customHeight="1">
      <c r="A90" s="23" t="str">
        <f t="shared" si="10"/>
        <v>Henry Linklater</v>
      </c>
      <c r="B90" s="15"/>
      <c r="C90" s="15"/>
      <c r="D90" s="15"/>
      <c r="E90" s="15"/>
      <c r="F90" s="15"/>
      <c r="G90" s="15"/>
      <c r="H90" s="15"/>
      <c r="I90" s="15"/>
      <c r="J90" s="15"/>
      <c r="K90" s="15"/>
      <c r="L90" s="15"/>
      <c r="M90" s="15"/>
      <c r="N90" s="15"/>
      <c r="O90" s="15"/>
      <c r="P90" s="15"/>
      <c r="Q90" s="15"/>
      <c r="R90" s="15"/>
      <c r="S90" s="15"/>
      <c r="T90" s="15"/>
      <c r="U90" s="15"/>
      <c r="V90" s="24">
        <f t="shared" si="11"/>
        <v>0</v>
      </c>
    </row>
    <row r="91" ht="15.75" customHeight="1">
      <c r="A91" s="23" t="str">
        <f t="shared" si="10"/>
        <v>Isaac Mond</v>
      </c>
      <c r="B91" s="15"/>
      <c r="C91" s="15"/>
      <c r="D91" s="15"/>
      <c r="E91" s="15"/>
      <c r="F91" s="15"/>
      <c r="G91" s="15"/>
      <c r="H91" s="15"/>
      <c r="I91" s="15"/>
      <c r="J91" s="15"/>
      <c r="K91" s="15"/>
      <c r="L91" s="15"/>
      <c r="M91" s="15"/>
      <c r="N91" s="15"/>
      <c r="O91" s="15"/>
      <c r="P91" s="15"/>
      <c r="Q91" s="15"/>
      <c r="R91" s="15"/>
      <c r="S91" s="15"/>
      <c r="T91" s="15"/>
      <c r="U91" s="15"/>
      <c r="V91" s="24">
        <f t="shared" si="11"/>
        <v>0</v>
      </c>
    </row>
    <row r="92" ht="15.75" customHeight="1">
      <c r="A92" s="23" t="str">
        <f t="shared" si="10"/>
        <v>Jake Harrison</v>
      </c>
      <c r="B92" s="15"/>
      <c r="C92" s="15"/>
      <c r="D92" s="15"/>
      <c r="E92" s="15"/>
      <c r="F92" s="15"/>
      <c r="G92" s="15"/>
      <c r="H92" s="15"/>
      <c r="I92" s="15"/>
      <c r="J92" s="15"/>
      <c r="K92" s="15"/>
      <c r="L92" s="15"/>
      <c r="M92" s="15"/>
      <c r="N92" s="15"/>
      <c r="O92" s="15"/>
      <c r="P92" s="15"/>
      <c r="Q92" s="15"/>
      <c r="R92" s="15"/>
      <c r="S92" s="15"/>
      <c r="T92" s="15"/>
      <c r="U92" s="15"/>
      <c r="V92" s="24">
        <f t="shared" si="11"/>
        <v>0</v>
      </c>
    </row>
    <row r="93" ht="15.75" customHeight="1">
      <c r="A93" s="23" t="str">
        <f t="shared" si="10"/>
        <v>Jake Ringer</v>
      </c>
      <c r="B93" s="15"/>
      <c r="C93" s="15"/>
      <c r="D93" s="15"/>
      <c r="E93" s="15"/>
      <c r="F93" s="15"/>
      <c r="G93" s="15"/>
      <c r="H93" s="15"/>
      <c r="I93" s="15"/>
      <c r="J93" s="15"/>
      <c r="K93" s="15"/>
      <c r="L93" s="15"/>
      <c r="M93" s="15"/>
      <c r="N93" s="15"/>
      <c r="O93" s="15"/>
      <c r="P93" s="15"/>
      <c r="Q93" s="15"/>
      <c r="R93" s="15"/>
      <c r="S93" s="15"/>
      <c r="T93" s="15"/>
      <c r="U93" s="15"/>
      <c r="V93" s="24">
        <f t="shared" si="11"/>
        <v>0</v>
      </c>
    </row>
    <row r="94" ht="15.75" customHeight="1">
      <c r="A94" s="23" t="str">
        <f t="shared" si="10"/>
        <v>Keshav Singh</v>
      </c>
      <c r="B94" s="15"/>
      <c r="C94" s="15"/>
      <c r="D94" s="15"/>
      <c r="E94" s="15"/>
      <c r="F94" s="15"/>
      <c r="G94" s="15"/>
      <c r="H94" s="15"/>
      <c r="I94" s="15"/>
      <c r="J94" s="15"/>
      <c r="K94" s="15"/>
      <c r="L94" s="15"/>
      <c r="M94" s="15"/>
      <c r="N94" s="15"/>
      <c r="O94" s="15"/>
      <c r="P94" s="15"/>
      <c r="Q94" s="15"/>
      <c r="R94" s="15"/>
      <c r="S94" s="15"/>
      <c r="T94" s="15"/>
      <c r="U94" s="15"/>
      <c r="V94" s="24">
        <f t="shared" si="11"/>
        <v>0</v>
      </c>
    </row>
    <row r="95" ht="15.75" customHeight="1">
      <c r="A95" s="23" t="str">
        <f t="shared" si="10"/>
        <v>Mark Pellowe</v>
      </c>
      <c r="B95" s="15"/>
      <c r="C95" s="15"/>
      <c r="D95" s="15"/>
      <c r="E95" s="15"/>
      <c r="F95" s="15"/>
      <c r="G95" s="15"/>
      <c r="H95" s="15"/>
      <c r="I95" s="15"/>
      <c r="J95" s="15"/>
      <c r="K95" s="15"/>
      <c r="L95" s="15"/>
      <c r="M95" s="15"/>
      <c r="N95" s="15"/>
      <c r="O95" s="15"/>
      <c r="P95" s="15"/>
      <c r="Q95" s="15"/>
      <c r="R95" s="15"/>
      <c r="S95" s="15"/>
      <c r="T95" s="15"/>
      <c r="U95" s="15"/>
      <c r="V95" s="24">
        <f t="shared" si="11"/>
        <v>0</v>
      </c>
    </row>
    <row r="96" ht="15.75" customHeight="1">
      <c r="A96" s="23" t="str">
        <f t="shared" si="10"/>
        <v>Max Cobain</v>
      </c>
      <c r="B96" s="15"/>
      <c r="C96" s="15"/>
      <c r="D96" s="15"/>
      <c r="E96" s="15"/>
      <c r="F96" s="15"/>
      <c r="G96" s="15"/>
      <c r="H96" s="15"/>
      <c r="I96" s="15"/>
      <c r="J96" s="15"/>
      <c r="K96" s="15"/>
      <c r="L96" s="15"/>
      <c r="M96" s="15"/>
      <c r="N96" s="15"/>
      <c r="O96" s="15"/>
      <c r="P96" s="15"/>
      <c r="Q96" s="15"/>
      <c r="R96" s="15"/>
      <c r="S96" s="15"/>
      <c r="T96" s="15"/>
      <c r="U96" s="15"/>
      <c r="V96" s="24">
        <f t="shared" si="11"/>
        <v>0</v>
      </c>
    </row>
    <row r="97" ht="15.75" customHeight="1">
      <c r="A97" s="23" t="str">
        <f t="shared" si="10"/>
        <v>Neeraj Radia</v>
      </c>
      <c r="B97" s="15"/>
      <c r="C97" s="15"/>
      <c r="D97" s="15"/>
      <c r="E97" s="15"/>
      <c r="F97" s="15"/>
      <c r="G97" s="15"/>
      <c r="H97" s="15"/>
      <c r="I97" s="15"/>
      <c r="J97" s="15"/>
      <c r="K97" s="15"/>
      <c r="L97" s="15"/>
      <c r="M97" s="15"/>
      <c r="N97" s="15"/>
      <c r="O97" s="15"/>
      <c r="P97" s="15"/>
      <c r="Q97" s="15"/>
      <c r="R97" s="15"/>
      <c r="S97" s="15"/>
      <c r="T97" s="15"/>
      <c r="U97" s="15"/>
      <c r="V97" s="24">
        <f t="shared" si="11"/>
        <v>0</v>
      </c>
    </row>
    <row r="98" ht="15.75" customHeight="1">
      <c r="A98" s="23" t="str">
        <f t="shared" si="10"/>
        <v>Phil Knott</v>
      </c>
      <c r="B98" s="15"/>
      <c r="C98" s="15"/>
      <c r="D98" s="15"/>
      <c r="E98" s="15"/>
      <c r="F98" s="15"/>
      <c r="G98" s="15"/>
      <c r="H98" s="15"/>
      <c r="I98" s="15"/>
      <c r="J98" s="15"/>
      <c r="K98" s="15"/>
      <c r="L98" s="15"/>
      <c r="M98" s="15"/>
      <c r="N98" s="15"/>
      <c r="O98" s="15"/>
      <c r="P98" s="15"/>
      <c r="Q98" s="15"/>
      <c r="R98" s="15"/>
      <c r="S98" s="15"/>
      <c r="T98" s="15"/>
      <c r="U98" s="15"/>
      <c r="V98" s="24">
        <f t="shared" si="11"/>
        <v>0</v>
      </c>
    </row>
    <row r="99" ht="15.75" customHeight="1">
      <c r="A99" s="23" t="str">
        <f t="shared" si="10"/>
        <v>Robin</v>
      </c>
      <c r="B99" s="15"/>
      <c r="C99" s="15"/>
      <c r="D99" s="15"/>
      <c r="E99" s="15"/>
      <c r="F99" s="15"/>
      <c r="G99" s="15"/>
      <c r="H99" s="15"/>
      <c r="I99" s="15"/>
      <c r="J99" s="15"/>
      <c r="K99" s="15"/>
      <c r="L99" s="15"/>
      <c r="M99" s="15"/>
      <c r="N99" s="15"/>
      <c r="O99" s="15"/>
      <c r="P99" s="15"/>
      <c r="Q99" s="15"/>
      <c r="R99" s="15"/>
      <c r="S99" s="15"/>
      <c r="T99" s="15"/>
      <c r="U99" s="15"/>
      <c r="V99" s="24">
        <f t="shared" si="11"/>
        <v>0</v>
      </c>
    </row>
    <row r="100" ht="15.75" customHeight="1">
      <c r="A100" s="23" t="str">
        <f t="shared" si="10"/>
        <v>Sam Holt</v>
      </c>
      <c r="B100" s="15"/>
      <c r="C100" s="15"/>
      <c r="D100" s="15"/>
      <c r="E100" s="15"/>
      <c r="F100" s="15"/>
      <c r="G100" s="15"/>
      <c r="H100" s="15"/>
      <c r="I100" s="15"/>
      <c r="J100" s="15"/>
      <c r="K100" s="15"/>
      <c r="L100" s="15"/>
      <c r="M100" s="15"/>
      <c r="N100" s="15"/>
      <c r="O100" s="15"/>
      <c r="P100" s="15"/>
      <c r="Q100" s="15"/>
      <c r="R100" s="15"/>
      <c r="S100" s="15"/>
      <c r="T100" s="15"/>
      <c r="U100" s="15"/>
      <c r="V100" s="24">
        <f t="shared" si="11"/>
        <v>0</v>
      </c>
    </row>
    <row r="101" ht="15.75" customHeight="1">
      <c r="A101" s="23" t="str">
        <f t="shared" si="10"/>
        <v>Seb Burgess</v>
      </c>
      <c r="B101" s="15"/>
      <c r="C101" s="15"/>
      <c r="D101" s="15"/>
      <c r="E101" s="15"/>
      <c r="F101" s="15"/>
      <c r="G101" s="15"/>
      <c r="H101" s="15"/>
      <c r="I101" s="15"/>
      <c r="J101" s="15"/>
      <c r="K101" s="15"/>
      <c r="L101" s="15"/>
      <c r="M101" s="15"/>
      <c r="N101" s="15"/>
      <c r="O101" s="15"/>
      <c r="P101" s="15"/>
      <c r="Q101" s="15"/>
      <c r="R101" s="15"/>
      <c r="S101" s="15"/>
      <c r="T101" s="15"/>
      <c r="U101" s="15"/>
      <c r="V101" s="24">
        <f t="shared" si="11"/>
        <v>0</v>
      </c>
    </row>
    <row r="102" ht="15.75" customHeight="1">
      <c r="A102" s="23" t="str">
        <f t="shared" si="10"/>
        <v/>
      </c>
      <c r="B102" s="15"/>
      <c r="C102" s="15"/>
      <c r="D102" s="15"/>
      <c r="E102" s="15"/>
      <c r="F102" s="15"/>
      <c r="G102" s="15"/>
      <c r="H102" s="15"/>
      <c r="I102" s="15"/>
      <c r="J102" s="15"/>
      <c r="K102" s="15"/>
      <c r="L102" s="15"/>
      <c r="M102" s="15"/>
      <c r="N102" s="15"/>
      <c r="O102" s="15"/>
      <c r="P102" s="15"/>
      <c r="Q102" s="15"/>
      <c r="R102" s="15"/>
      <c r="S102" s="15"/>
      <c r="T102" s="15"/>
      <c r="U102" s="15"/>
      <c r="V102" s="24">
        <f t="shared" si="11"/>
        <v>0</v>
      </c>
    </row>
    <row r="103" ht="15.75" customHeight="1">
      <c r="A103" s="23" t="str">
        <f t="shared" si="10"/>
        <v/>
      </c>
      <c r="B103" s="15"/>
      <c r="C103" s="15"/>
      <c r="D103" s="15"/>
      <c r="E103" s="15"/>
      <c r="F103" s="15"/>
      <c r="G103" s="15"/>
      <c r="H103" s="15"/>
      <c r="I103" s="15"/>
      <c r="J103" s="15"/>
      <c r="K103" s="15"/>
      <c r="L103" s="15"/>
      <c r="M103" s="15"/>
      <c r="N103" s="15"/>
      <c r="O103" s="15"/>
      <c r="P103" s="15"/>
      <c r="Q103" s="15"/>
      <c r="R103" s="15"/>
      <c r="S103" s="15"/>
      <c r="T103" s="15"/>
      <c r="U103" s="15"/>
      <c r="V103" s="24">
        <f t="shared" si="11"/>
        <v>0</v>
      </c>
    </row>
    <row r="104" ht="15.75" customHeight="1">
      <c r="A104" s="23" t="str">
        <f t="shared" si="10"/>
        <v/>
      </c>
      <c r="B104" s="15"/>
      <c r="C104" s="15"/>
      <c r="D104" s="15"/>
      <c r="E104" s="15"/>
      <c r="F104" s="15"/>
      <c r="G104" s="15"/>
      <c r="H104" s="15"/>
      <c r="I104" s="15"/>
      <c r="J104" s="15"/>
      <c r="K104" s="15"/>
      <c r="L104" s="15"/>
      <c r="M104" s="15"/>
      <c r="N104" s="15"/>
      <c r="O104" s="15"/>
      <c r="P104" s="15"/>
      <c r="Q104" s="15"/>
      <c r="R104" s="15"/>
      <c r="S104" s="15"/>
      <c r="T104" s="15"/>
      <c r="U104" s="15"/>
      <c r="V104" s="24">
        <f t="shared" si="11"/>
        <v>0</v>
      </c>
    </row>
    <row r="105" ht="15.75" customHeight="1">
      <c r="A105" s="23" t="str">
        <f t="shared" si="10"/>
        <v/>
      </c>
      <c r="B105" s="15"/>
      <c r="C105" s="15"/>
      <c r="D105" s="15"/>
      <c r="E105" s="15"/>
      <c r="F105" s="15"/>
      <c r="G105" s="15"/>
      <c r="H105" s="15"/>
      <c r="I105" s="15"/>
      <c r="J105" s="15"/>
      <c r="K105" s="15"/>
      <c r="L105" s="15"/>
      <c r="M105" s="15"/>
      <c r="N105" s="15"/>
      <c r="O105" s="15"/>
      <c r="P105" s="15"/>
      <c r="Q105" s="15"/>
      <c r="R105" s="15"/>
      <c r="S105" s="15"/>
      <c r="T105" s="15"/>
      <c r="U105" s="15"/>
      <c r="V105" s="24">
        <f t="shared" si="11"/>
        <v>0</v>
      </c>
    </row>
    <row r="106" ht="15.75" customHeight="1">
      <c r="A106" s="23" t="str">
        <f t="shared" si="10"/>
        <v/>
      </c>
      <c r="B106" s="15"/>
      <c r="C106" s="15"/>
      <c r="D106" s="15"/>
      <c r="E106" s="15"/>
      <c r="F106" s="15"/>
      <c r="G106" s="15"/>
      <c r="H106" s="15"/>
      <c r="I106" s="15"/>
      <c r="J106" s="15"/>
      <c r="K106" s="15"/>
      <c r="L106" s="15"/>
      <c r="M106" s="15"/>
      <c r="N106" s="15"/>
      <c r="O106" s="15"/>
      <c r="P106" s="15"/>
      <c r="Q106" s="15"/>
      <c r="R106" s="15"/>
      <c r="S106" s="15"/>
      <c r="T106" s="15"/>
      <c r="U106" s="15"/>
      <c r="V106" s="24">
        <f t="shared" si="11"/>
        <v>0</v>
      </c>
    </row>
    <row r="107" ht="15.75" customHeight="1">
      <c r="A107" s="23" t="str">
        <f t="shared" si="10"/>
        <v/>
      </c>
      <c r="B107" s="15"/>
      <c r="C107" s="15"/>
      <c r="D107" s="15"/>
      <c r="E107" s="15"/>
      <c r="F107" s="15"/>
      <c r="G107" s="15"/>
      <c r="H107" s="15"/>
      <c r="I107" s="15"/>
      <c r="J107" s="15"/>
      <c r="K107" s="15"/>
      <c r="L107" s="15"/>
      <c r="M107" s="15"/>
      <c r="N107" s="15"/>
      <c r="O107" s="15"/>
      <c r="P107" s="15"/>
      <c r="Q107" s="15"/>
      <c r="R107" s="15"/>
      <c r="S107" s="15"/>
      <c r="T107" s="15"/>
      <c r="U107" s="15"/>
      <c r="V107" s="24">
        <f t="shared" si="11"/>
        <v>0</v>
      </c>
    </row>
    <row r="108" ht="15.75" customHeight="1">
      <c r="A108" s="7" t="s">
        <v>144</v>
      </c>
      <c r="V108" s="24">
        <f>SUM(V80:V107)</f>
        <v>0</v>
      </c>
    </row>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6.0"/>
    <col customWidth="1" min="2" max="25" width="12.0"/>
    <col customWidth="1" min="26" max="26" width="8.71"/>
  </cols>
  <sheetData>
    <row r="1">
      <c r="A1" s="4" t="s">
        <v>150</v>
      </c>
      <c r="B1" s="5"/>
      <c r="C1" s="5"/>
      <c r="D1" s="5"/>
      <c r="E1" s="5"/>
      <c r="F1" s="5"/>
      <c r="G1" s="5"/>
      <c r="H1" s="5"/>
      <c r="I1" s="5"/>
      <c r="J1" s="5"/>
      <c r="K1" s="5"/>
      <c r="L1" s="5"/>
      <c r="M1" s="5"/>
      <c r="N1" s="5"/>
      <c r="O1" s="5"/>
      <c r="P1" s="5"/>
      <c r="Q1" s="5"/>
      <c r="R1" s="5"/>
      <c r="S1" s="5"/>
      <c r="T1" s="5"/>
      <c r="U1" s="5"/>
      <c r="V1" s="5"/>
      <c r="W1" s="5"/>
      <c r="X1" s="5"/>
      <c r="Y1" s="5"/>
    </row>
    <row r="2">
      <c r="A2" s="6" t="s">
        <v>40</v>
      </c>
      <c r="B2" s="6" t="s">
        <v>41</v>
      </c>
      <c r="C2" s="6" t="s">
        <v>42</v>
      </c>
      <c r="D2" s="6" t="s">
        <v>43</v>
      </c>
      <c r="E2" s="6" t="s">
        <v>44</v>
      </c>
      <c r="F2" s="6" t="s">
        <v>45</v>
      </c>
      <c r="G2" s="6" t="s">
        <v>46</v>
      </c>
      <c r="H2" s="6" t="s">
        <v>47</v>
      </c>
      <c r="I2" s="6" t="s">
        <v>48</v>
      </c>
      <c r="J2" s="6" t="s">
        <v>49</v>
      </c>
      <c r="K2" s="6" t="s">
        <v>50</v>
      </c>
      <c r="L2" s="6" t="s">
        <v>51</v>
      </c>
      <c r="M2" s="6" t="s">
        <v>52</v>
      </c>
      <c r="N2" s="6" t="s">
        <v>53</v>
      </c>
      <c r="O2" s="6" t="s">
        <v>54</v>
      </c>
      <c r="P2" s="6" t="s">
        <v>55</v>
      </c>
      <c r="Q2" s="6" t="s">
        <v>56</v>
      </c>
      <c r="R2" s="6" t="s">
        <v>57</v>
      </c>
      <c r="S2" s="6" t="s">
        <v>58</v>
      </c>
      <c r="T2" s="6" t="s">
        <v>59</v>
      </c>
      <c r="U2" s="6" t="s">
        <v>60</v>
      </c>
      <c r="X2" s="7" t="s">
        <v>61</v>
      </c>
    </row>
    <row r="3">
      <c r="A3" s="8" t="s">
        <v>62</v>
      </c>
      <c r="B3" s="9">
        <v>45946.0</v>
      </c>
      <c r="C3" s="9">
        <v>45953.0</v>
      </c>
      <c r="D3" s="9">
        <v>45960.0</v>
      </c>
      <c r="E3" s="9">
        <v>45967.0</v>
      </c>
      <c r="F3" s="9">
        <v>45974.0</v>
      </c>
      <c r="G3" s="9">
        <v>45981.0</v>
      </c>
      <c r="H3" s="9">
        <v>45988.0</v>
      </c>
      <c r="I3" s="9">
        <v>45995.0</v>
      </c>
      <c r="J3" s="9">
        <v>46002.0</v>
      </c>
      <c r="K3" s="9">
        <v>46030.0</v>
      </c>
      <c r="L3" s="9">
        <v>46037.0</v>
      </c>
      <c r="M3" s="9">
        <v>46044.0</v>
      </c>
      <c r="N3" s="9">
        <v>46051.0</v>
      </c>
      <c r="O3" s="9">
        <v>46058.0</v>
      </c>
      <c r="P3" s="9"/>
      <c r="Q3" s="9"/>
      <c r="R3" s="9"/>
      <c r="S3" s="9"/>
      <c r="T3" s="9"/>
      <c r="U3" s="9"/>
      <c r="X3" s="7" t="s">
        <v>63</v>
      </c>
      <c r="Y3" s="10">
        <f>Y4+Y5+Y6</f>
        <v>13</v>
      </c>
    </row>
    <row r="4">
      <c r="A4" s="8" t="s">
        <v>64</v>
      </c>
      <c r="B4" s="11"/>
      <c r="C4" s="11"/>
      <c r="D4" s="11"/>
      <c r="E4" s="11"/>
      <c r="F4" s="11"/>
      <c r="G4" s="11"/>
      <c r="H4" s="11"/>
      <c r="I4" s="11"/>
      <c r="J4" s="11"/>
      <c r="K4" s="11"/>
      <c r="L4" s="11"/>
      <c r="M4" s="11"/>
      <c r="N4" s="11"/>
      <c r="O4" s="11"/>
      <c r="P4" s="11"/>
      <c r="Q4" s="11"/>
      <c r="R4" s="11"/>
      <c r="S4" s="11"/>
      <c r="T4" s="11"/>
      <c r="U4" s="11"/>
      <c r="X4" s="7" t="s">
        <v>65</v>
      </c>
      <c r="Y4" s="10">
        <f>SUMPRODUCT(($B$9:$U$9="W")*($B$16:$U$16=""))</f>
        <v>2</v>
      </c>
    </row>
    <row r="5" ht="27.75" customHeight="1">
      <c r="A5" s="8" t="s">
        <v>66</v>
      </c>
      <c r="B5" s="12" t="s">
        <v>86</v>
      </c>
      <c r="C5" s="12" t="s">
        <v>89</v>
      </c>
      <c r="D5" s="12" t="s">
        <v>125</v>
      </c>
      <c r="E5" s="12" t="s">
        <v>124</v>
      </c>
      <c r="F5" s="12" t="s">
        <v>151</v>
      </c>
      <c r="G5" s="12" t="s">
        <v>152</v>
      </c>
      <c r="H5" s="12" t="s">
        <v>122</v>
      </c>
      <c r="I5" s="12" t="s">
        <v>153</v>
      </c>
      <c r="J5" s="12" t="s">
        <v>124</v>
      </c>
      <c r="K5" s="12" t="s">
        <v>154</v>
      </c>
      <c r="L5" s="12" t="s">
        <v>155</v>
      </c>
      <c r="M5" s="12" t="s">
        <v>89</v>
      </c>
      <c r="N5" s="12" t="s">
        <v>122</v>
      </c>
      <c r="O5" s="12" t="s">
        <v>156</v>
      </c>
      <c r="P5" s="12"/>
      <c r="Q5" s="12"/>
      <c r="R5" s="12"/>
      <c r="S5" s="12"/>
      <c r="T5" s="12"/>
      <c r="U5" s="12"/>
      <c r="X5" s="7" t="s">
        <v>75</v>
      </c>
      <c r="Y5" s="10">
        <f>SUMPRODUCT(($B$9:$U$9="D")*($B$16:$U$16=""))</f>
        <v>0</v>
      </c>
    </row>
    <row r="6">
      <c r="A6" s="8" t="s">
        <v>79</v>
      </c>
      <c r="B6" s="13">
        <v>3.0</v>
      </c>
      <c r="C6" s="13">
        <v>0.0</v>
      </c>
      <c r="D6" s="13">
        <v>2.0</v>
      </c>
      <c r="E6" s="13">
        <v>1.0</v>
      </c>
      <c r="F6" s="13">
        <v>5.0</v>
      </c>
      <c r="G6" s="13">
        <v>1.0</v>
      </c>
      <c r="H6" s="13">
        <v>0.0</v>
      </c>
      <c r="I6" s="13">
        <v>8.0</v>
      </c>
      <c r="J6" s="13">
        <v>2.0</v>
      </c>
      <c r="K6" s="13">
        <v>1.0</v>
      </c>
      <c r="L6" s="13">
        <v>0.0</v>
      </c>
      <c r="M6" s="13">
        <v>2.0</v>
      </c>
      <c r="N6" s="13">
        <v>2.0</v>
      </c>
      <c r="O6" s="13">
        <v>10.0</v>
      </c>
      <c r="P6" s="13"/>
      <c r="Q6" s="13"/>
      <c r="R6" s="13"/>
      <c r="S6" s="13"/>
      <c r="T6" s="13"/>
      <c r="U6" s="13"/>
      <c r="X6" s="7" t="s">
        <v>80</v>
      </c>
      <c r="Y6" s="10">
        <f>SUMPRODUCT(($B$9:$U$9="L")*($B$16:$U$16=""))</f>
        <v>11</v>
      </c>
    </row>
    <row r="7">
      <c r="A7" s="8" t="s">
        <v>81</v>
      </c>
      <c r="B7" s="13">
        <v>4.0</v>
      </c>
      <c r="C7" s="13">
        <v>2.0</v>
      </c>
      <c r="D7" s="13">
        <v>4.0</v>
      </c>
      <c r="E7" s="13">
        <v>6.0</v>
      </c>
      <c r="F7" s="13">
        <v>3.0</v>
      </c>
      <c r="G7" s="13">
        <v>4.0</v>
      </c>
      <c r="H7" s="13">
        <v>6.0</v>
      </c>
      <c r="I7" s="13">
        <v>0.0</v>
      </c>
      <c r="J7" s="13">
        <v>10.0</v>
      </c>
      <c r="K7" s="13">
        <v>6.0</v>
      </c>
      <c r="L7" s="13">
        <v>5.0</v>
      </c>
      <c r="M7" s="13">
        <v>10.0</v>
      </c>
      <c r="N7" s="13">
        <v>5.0</v>
      </c>
      <c r="O7" s="13">
        <v>5.0</v>
      </c>
      <c r="P7" s="13"/>
      <c r="Q7" s="13"/>
      <c r="R7" s="13"/>
      <c r="S7" s="13"/>
      <c r="T7" s="13"/>
      <c r="U7" s="13"/>
      <c r="X7" s="7" t="s">
        <v>82</v>
      </c>
      <c r="Y7" s="10">
        <f>SUMPRODUCT($B$6:$U$6*($B$16:$U$16=""))</f>
        <v>29</v>
      </c>
    </row>
    <row r="8">
      <c r="A8" s="8" t="s">
        <v>83</v>
      </c>
      <c r="B8" s="14" t="str">
        <f t="shared" ref="B8:U8" si="1">IF(COUNT(B6:B7)&lt;2,"",B6&amp;"-"&amp;B7)</f>
        <v>3-4</v>
      </c>
      <c r="C8" s="14" t="str">
        <f t="shared" si="1"/>
        <v>0-2</v>
      </c>
      <c r="D8" s="14" t="str">
        <f t="shared" si="1"/>
        <v>2-4</v>
      </c>
      <c r="E8" s="14" t="str">
        <f t="shared" si="1"/>
        <v>1-6</v>
      </c>
      <c r="F8" s="14" t="str">
        <f t="shared" si="1"/>
        <v>5-3</v>
      </c>
      <c r="G8" s="14" t="str">
        <f t="shared" si="1"/>
        <v>1-4</v>
      </c>
      <c r="H8" s="14" t="str">
        <f t="shared" si="1"/>
        <v>0-6</v>
      </c>
      <c r="I8" s="14" t="str">
        <f t="shared" si="1"/>
        <v>8-0</v>
      </c>
      <c r="J8" s="14" t="str">
        <f t="shared" si="1"/>
        <v>2-10</v>
      </c>
      <c r="K8" s="14" t="str">
        <f t="shared" si="1"/>
        <v>1-6</v>
      </c>
      <c r="L8" s="14" t="str">
        <f t="shared" si="1"/>
        <v>0-5</v>
      </c>
      <c r="M8" s="14" t="str">
        <f t="shared" si="1"/>
        <v>2-10</v>
      </c>
      <c r="N8" s="14" t="str">
        <f t="shared" si="1"/>
        <v>2-5</v>
      </c>
      <c r="O8" s="14" t="str">
        <f t="shared" si="1"/>
        <v>10-5</v>
      </c>
      <c r="P8" s="14" t="str">
        <f t="shared" si="1"/>
        <v/>
      </c>
      <c r="Q8" s="14" t="str">
        <f t="shared" si="1"/>
        <v/>
      </c>
      <c r="R8" s="14" t="str">
        <f t="shared" si="1"/>
        <v/>
      </c>
      <c r="S8" s="14" t="str">
        <f t="shared" si="1"/>
        <v/>
      </c>
      <c r="T8" s="14" t="str">
        <f t="shared" si="1"/>
        <v/>
      </c>
      <c r="U8" s="14" t="str">
        <f t="shared" si="1"/>
        <v/>
      </c>
      <c r="X8" s="7" t="s">
        <v>94</v>
      </c>
      <c r="Y8" s="10">
        <f>SUMPRODUCT($B$7:$U$7*($B$16:$U$16=""))</f>
        <v>70</v>
      </c>
    </row>
    <row r="9">
      <c r="A9" s="8" t="s">
        <v>95</v>
      </c>
      <c r="B9" s="14" t="str">
        <f t="shared" ref="B9:U9" si="2">IF(COUNT(B6:B7)&lt;2,"",IF(B6&gt;B7,"W",IF(B6&lt;B7,"L","D")))</f>
        <v>L</v>
      </c>
      <c r="C9" s="14" t="str">
        <f t="shared" si="2"/>
        <v>L</v>
      </c>
      <c r="D9" s="14" t="str">
        <f t="shared" si="2"/>
        <v>L</v>
      </c>
      <c r="E9" s="14" t="str">
        <f t="shared" si="2"/>
        <v>L</v>
      </c>
      <c r="F9" s="14" t="str">
        <f t="shared" si="2"/>
        <v>W</v>
      </c>
      <c r="G9" s="14" t="str">
        <f t="shared" si="2"/>
        <v>L</v>
      </c>
      <c r="H9" s="14" t="str">
        <f t="shared" si="2"/>
        <v>L</v>
      </c>
      <c r="I9" s="14" t="str">
        <f t="shared" si="2"/>
        <v>W</v>
      </c>
      <c r="J9" s="14" t="str">
        <f t="shared" si="2"/>
        <v>L</v>
      </c>
      <c r="K9" s="14" t="str">
        <f t="shared" si="2"/>
        <v>L</v>
      </c>
      <c r="L9" s="14" t="str">
        <f t="shared" si="2"/>
        <v>L</v>
      </c>
      <c r="M9" s="14" t="str">
        <f t="shared" si="2"/>
        <v>L</v>
      </c>
      <c r="N9" s="14" t="str">
        <f t="shared" si="2"/>
        <v>L</v>
      </c>
      <c r="O9" s="14" t="str">
        <f t="shared" si="2"/>
        <v>W</v>
      </c>
      <c r="P9" s="14" t="str">
        <f t="shared" si="2"/>
        <v/>
      </c>
      <c r="Q9" s="14" t="str">
        <f t="shared" si="2"/>
        <v/>
      </c>
      <c r="R9" s="14" t="str">
        <f t="shared" si="2"/>
        <v/>
      </c>
      <c r="S9" s="14" t="str">
        <f t="shared" si="2"/>
        <v/>
      </c>
      <c r="T9" s="14" t="str">
        <f t="shared" si="2"/>
        <v/>
      </c>
      <c r="U9" s="14" t="str">
        <f t="shared" si="2"/>
        <v/>
      </c>
      <c r="X9" s="7" t="s">
        <v>96</v>
      </c>
      <c r="Y9" s="10" t="str">
        <f t="array" ref="Y9">IF(MAX($V$49:$V$76)=0,"—",INDEX($A$49:$A$76,MATCH(MAX($V$49:$V$76),$V$49:$V$76,0))&amp;" ("&amp;MAX($V$49:$V$76)&amp;")")</f>
        <v>Seb Burgess (10)</v>
      </c>
    </row>
    <row r="10">
      <c r="A10" s="8" t="s">
        <v>97</v>
      </c>
      <c r="B10" s="15"/>
      <c r="C10" s="15"/>
      <c r="D10" s="15"/>
      <c r="E10" s="15"/>
      <c r="F10" s="15"/>
      <c r="G10" s="15"/>
      <c r="H10" s="15"/>
      <c r="I10" s="15"/>
      <c r="J10" s="15"/>
      <c r="K10" s="15" t="s">
        <v>98</v>
      </c>
      <c r="L10" s="15" t="s">
        <v>102</v>
      </c>
      <c r="M10" s="15" t="s">
        <v>143</v>
      </c>
      <c r="N10" s="15" t="s">
        <v>139</v>
      </c>
      <c r="O10" s="15" t="s">
        <v>136</v>
      </c>
      <c r="P10" s="15"/>
      <c r="Q10" s="15"/>
      <c r="R10" s="15"/>
      <c r="S10" s="15"/>
      <c r="T10" s="15"/>
      <c r="U10" s="15"/>
      <c r="X10" s="7" t="s">
        <v>106</v>
      </c>
      <c r="Y10" s="10" t="str">
        <f t="array" ref="Y10">IF(MAX($V$18:$V$45)=0,"—",INDEX($A$18:$A$45,MATCH(MAX($V$18:$V$45),$V$18:$V$45,0))&amp;" ("&amp;MAX($V$18:$V$45)&amp;")")</f>
        <v>Max Cobain (12)</v>
      </c>
    </row>
    <row r="11">
      <c r="A11" s="8" t="s">
        <v>107</v>
      </c>
      <c r="B11" s="15"/>
      <c r="C11" s="15"/>
      <c r="D11" s="15"/>
      <c r="E11" s="15"/>
      <c r="F11" s="15"/>
      <c r="G11" s="15"/>
      <c r="H11" s="15"/>
      <c r="I11" s="15"/>
      <c r="J11" s="15"/>
      <c r="K11" s="15"/>
      <c r="L11" s="15"/>
      <c r="M11" s="15"/>
      <c r="N11" s="15"/>
      <c r="O11" s="15"/>
      <c r="P11" s="15"/>
      <c r="Q11" s="15"/>
      <c r="R11" s="15"/>
      <c r="S11" s="15"/>
      <c r="T11" s="15"/>
      <c r="U11" s="15"/>
      <c r="X11" s="7" t="s">
        <v>108</v>
      </c>
      <c r="Y11" s="16">
        <f>SUM($B$13:$U$13)</f>
        <v>0</v>
      </c>
    </row>
    <row r="12" ht="25.5" customHeight="1">
      <c r="A12" s="8" t="s">
        <v>112</v>
      </c>
      <c r="B12" s="17"/>
      <c r="C12" s="17"/>
      <c r="D12" s="17"/>
      <c r="E12" s="17"/>
      <c r="F12" s="17"/>
      <c r="G12" s="17"/>
      <c r="H12" s="17"/>
      <c r="I12" s="17" t="s">
        <v>84</v>
      </c>
      <c r="J12" s="17"/>
      <c r="K12" s="17"/>
      <c r="L12" s="17"/>
      <c r="M12" s="17"/>
      <c r="N12" s="17"/>
      <c r="O12" s="17"/>
      <c r="P12" s="17"/>
      <c r="Q12" s="17"/>
      <c r="R12" s="17"/>
      <c r="S12" s="17"/>
      <c r="T12" s="17"/>
      <c r="U12" s="17"/>
      <c r="X12" s="7" t="s">
        <v>119</v>
      </c>
      <c r="Y12" s="18"/>
    </row>
    <row r="13">
      <c r="A13" s="8" t="s">
        <v>123</v>
      </c>
      <c r="B13" s="19"/>
      <c r="C13" s="19"/>
      <c r="D13" s="19"/>
      <c r="E13" s="19"/>
      <c r="F13" s="19"/>
      <c r="G13" s="19"/>
      <c r="H13" s="19"/>
      <c r="I13" s="19"/>
      <c r="J13" s="19"/>
      <c r="K13" s="19"/>
      <c r="L13" s="19"/>
      <c r="M13" s="19"/>
      <c r="N13" s="19"/>
      <c r="O13" s="19"/>
      <c r="P13" s="19"/>
      <c r="Q13" s="19"/>
      <c r="R13" s="19"/>
      <c r="S13" s="19"/>
      <c r="T13" s="19"/>
      <c r="U13" s="19"/>
    </row>
    <row r="14">
      <c r="A14" s="8" t="s">
        <v>126</v>
      </c>
      <c r="B14" s="14">
        <f t="shared" ref="B14:U14" si="3">COUNT(B$18:B$45)</f>
        <v>8</v>
      </c>
      <c r="C14" s="14">
        <f t="shared" si="3"/>
        <v>5</v>
      </c>
      <c r="D14" s="14">
        <f t="shared" si="3"/>
        <v>6</v>
      </c>
      <c r="E14" s="14">
        <f t="shared" si="3"/>
        <v>7</v>
      </c>
      <c r="F14" s="14">
        <f t="shared" si="3"/>
        <v>6</v>
      </c>
      <c r="G14" s="14">
        <f t="shared" si="3"/>
        <v>5</v>
      </c>
      <c r="H14" s="14">
        <f t="shared" si="3"/>
        <v>7</v>
      </c>
      <c r="I14" s="14">
        <f t="shared" si="3"/>
        <v>0</v>
      </c>
      <c r="J14" s="14">
        <f t="shared" si="3"/>
        <v>7</v>
      </c>
      <c r="K14" s="14">
        <f t="shared" si="3"/>
        <v>7</v>
      </c>
      <c r="L14" s="14">
        <f t="shared" si="3"/>
        <v>5</v>
      </c>
      <c r="M14" s="14">
        <f t="shared" si="3"/>
        <v>5</v>
      </c>
      <c r="N14" s="14">
        <f t="shared" si="3"/>
        <v>6</v>
      </c>
      <c r="O14" s="14">
        <f t="shared" si="3"/>
        <v>7</v>
      </c>
      <c r="P14" s="14">
        <f t="shared" si="3"/>
        <v>0</v>
      </c>
      <c r="Q14" s="14">
        <f t="shared" si="3"/>
        <v>0</v>
      </c>
      <c r="R14" s="14">
        <f t="shared" si="3"/>
        <v>0</v>
      </c>
      <c r="S14" s="14">
        <f t="shared" si="3"/>
        <v>0</v>
      </c>
      <c r="T14" s="14">
        <f t="shared" si="3"/>
        <v>0</v>
      </c>
      <c r="U14" s="14">
        <f t="shared" si="3"/>
        <v>0</v>
      </c>
    </row>
    <row r="15">
      <c r="A15" s="8" t="s">
        <v>127</v>
      </c>
      <c r="B15" s="20">
        <f t="shared" ref="B15:U15" si="4">IF(B$14=0,0,N(B$13)/B$14)</f>
        <v>0</v>
      </c>
      <c r="C15" s="20">
        <f t="shared" si="4"/>
        <v>0</v>
      </c>
      <c r="D15" s="20">
        <f t="shared" si="4"/>
        <v>0</v>
      </c>
      <c r="E15" s="20">
        <f t="shared" si="4"/>
        <v>0</v>
      </c>
      <c r="F15" s="20">
        <f t="shared" si="4"/>
        <v>0</v>
      </c>
      <c r="G15" s="20">
        <f t="shared" si="4"/>
        <v>0</v>
      </c>
      <c r="H15" s="20">
        <f t="shared" si="4"/>
        <v>0</v>
      </c>
      <c r="I15" s="20">
        <f t="shared" si="4"/>
        <v>0</v>
      </c>
      <c r="J15" s="20">
        <f t="shared" si="4"/>
        <v>0</v>
      </c>
      <c r="K15" s="20">
        <f t="shared" si="4"/>
        <v>0</v>
      </c>
      <c r="L15" s="20">
        <f t="shared" si="4"/>
        <v>0</v>
      </c>
      <c r="M15" s="20">
        <f t="shared" si="4"/>
        <v>0</v>
      </c>
      <c r="N15" s="20">
        <f t="shared" si="4"/>
        <v>0</v>
      </c>
      <c r="O15" s="20">
        <f t="shared" si="4"/>
        <v>0</v>
      </c>
      <c r="P15" s="20">
        <f t="shared" si="4"/>
        <v>0</v>
      </c>
      <c r="Q15" s="20">
        <f t="shared" si="4"/>
        <v>0</v>
      </c>
      <c r="R15" s="20">
        <f t="shared" si="4"/>
        <v>0</v>
      </c>
      <c r="S15" s="20">
        <f t="shared" si="4"/>
        <v>0</v>
      </c>
      <c r="T15" s="20">
        <f t="shared" si="4"/>
        <v>0</v>
      </c>
      <c r="U15" s="20">
        <f t="shared" si="4"/>
        <v>0</v>
      </c>
    </row>
    <row r="16">
      <c r="A16" s="8" t="s">
        <v>128</v>
      </c>
      <c r="B16" s="13"/>
      <c r="C16" s="13"/>
      <c r="D16" s="13"/>
      <c r="E16" s="13"/>
      <c r="F16" s="13"/>
      <c r="G16" s="13"/>
      <c r="H16" s="13"/>
      <c r="I16" s="13" t="s">
        <v>84</v>
      </c>
      <c r="J16" s="13"/>
      <c r="K16" s="13"/>
      <c r="L16" s="13"/>
      <c r="M16" s="13"/>
      <c r="N16" s="13"/>
      <c r="O16" s="13"/>
      <c r="P16" s="13"/>
      <c r="Q16" s="13"/>
      <c r="R16" s="13"/>
      <c r="S16" s="13"/>
      <c r="T16" s="13"/>
      <c r="U16" s="13"/>
    </row>
    <row r="17">
      <c r="A17" s="21" t="s">
        <v>129</v>
      </c>
      <c r="B17" s="22" t="s">
        <v>41</v>
      </c>
      <c r="C17" s="22" t="s">
        <v>42</v>
      </c>
      <c r="D17" s="22" t="s">
        <v>43</v>
      </c>
      <c r="E17" s="22" t="s">
        <v>44</v>
      </c>
      <c r="F17" s="22" t="s">
        <v>45</v>
      </c>
      <c r="G17" s="22" t="s">
        <v>46</v>
      </c>
      <c r="H17" s="22" t="s">
        <v>47</v>
      </c>
      <c r="I17" s="22" t="s">
        <v>48</v>
      </c>
      <c r="J17" s="22" t="s">
        <v>49</v>
      </c>
      <c r="K17" s="22" t="s">
        <v>50</v>
      </c>
      <c r="L17" s="22" t="s">
        <v>51</v>
      </c>
      <c r="M17" s="22" t="s">
        <v>52</v>
      </c>
      <c r="N17" s="22" t="s">
        <v>53</v>
      </c>
      <c r="O17" s="22" t="s">
        <v>54</v>
      </c>
      <c r="P17" s="22" t="s">
        <v>55</v>
      </c>
      <c r="Q17" s="22" t="s">
        <v>56</v>
      </c>
      <c r="R17" s="22" t="s">
        <v>57</v>
      </c>
      <c r="S17" s="22" t="s">
        <v>58</v>
      </c>
      <c r="T17" s="22" t="s">
        <v>59</v>
      </c>
      <c r="U17" s="22" t="s">
        <v>60</v>
      </c>
      <c r="V17" s="22" t="s">
        <v>130</v>
      </c>
      <c r="W17" s="22" t="s">
        <v>131</v>
      </c>
    </row>
    <row r="18">
      <c r="A18" s="23" t="s">
        <v>132</v>
      </c>
      <c r="B18" s="15"/>
      <c r="C18" s="15"/>
      <c r="D18" s="15"/>
      <c r="E18" s="15"/>
      <c r="F18" s="15"/>
      <c r="G18" s="15"/>
      <c r="H18" s="15"/>
      <c r="I18" s="15"/>
      <c r="J18" s="15"/>
      <c r="K18" s="15"/>
      <c r="L18" s="15"/>
      <c r="M18" s="15"/>
      <c r="N18" s="15"/>
      <c r="O18" s="15"/>
      <c r="P18" s="15"/>
      <c r="Q18" s="15"/>
      <c r="R18" s="15"/>
      <c r="S18" s="15"/>
      <c r="T18" s="15"/>
      <c r="U18" s="15"/>
      <c r="V18" s="24">
        <f t="shared" ref="V18:V45" si="5">SUMPRODUCT(B18:U18*($B$16:$U$16=""))</f>
        <v>0</v>
      </c>
      <c r="W18" s="20">
        <f t="shared" ref="W18:W45" si="6">SUMPRODUCT($B18:$U18,$B$15:$U$15)</f>
        <v>0</v>
      </c>
    </row>
    <row r="19">
      <c r="A19" s="23" t="s">
        <v>133</v>
      </c>
      <c r="B19" s="15"/>
      <c r="C19" s="15"/>
      <c r="D19" s="15"/>
      <c r="E19" s="15">
        <v>1.0</v>
      </c>
      <c r="F19" s="15"/>
      <c r="G19" s="15"/>
      <c r="H19" s="15"/>
      <c r="I19" s="15"/>
      <c r="J19" s="15"/>
      <c r="K19" s="15"/>
      <c r="L19" s="15"/>
      <c r="M19" s="15"/>
      <c r="N19" s="15"/>
      <c r="O19" s="15"/>
      <c r="P19" s="15"/>
      <c r="Q19" s="15"/>
      <c r="R19" s="15"/>
      <c r="S19" s="15"/>
      <c r="T19" s="15"/>
      <c r="U19" s="15"/>
      <c r="V19" s="24">
        <f t="shared" si="5"/>
        <v>1</v>
      </c>
      <c r="W19" s="20">
        <f t="shared" si="6"/>
        <v>0</v>
      </c>
    </row>
    <row r="20">
      <c r="A20" s="23" t="s">
        <v>103</v>
      </c>
      <c r="B20" s="15">
        <v>1.0</v>
      </c>
      <c r="C20" s="15">
        <v>1.0</v>
      </c>
      <c r="D20" s="15">
        <v>1.0</v>
      </c>
      <c r="E20" s="15">
        <v>1.0</v>
      </c>
      <c r="F20" s="15">
        <v>1.0</v>
      </c>
      <c r="G20" s="15">
        <v>1.0</v>
      </c>
      <c r="H20" s="15">
        <v>1.0</v>
      </c>
      <c r="I20" s="15"/>
      <c r="J20" s="15">
        <v>1.0</v>
      </c>
      <c r="K20" s="15"/>
      <c r="L20" s="15"/>
      <c r="M20" s="15"/>
      <c r="N20" s="15"/>
      <c r="O20" s="15"/>
      <c r="P20" s="15"/>
      <c r="Q20" s="15"/>
      <c r="R20" s="15"/>
      <c r="S20" s="15"/>
      <c r="T20" s="15"/>
      <c r="U20" s="15"/>
      <c r="V20" s="24">
        <f t="shared" si="5"/>
        <v>8</v>
      </c>
      <c r="W20" s="20">
        <f t="shared" si="6"/>
        <v>0</v>
      </c>
    </row>
    <row r="21" ht="15.75" customHeight="1">
      <c r="A21" s="23" t="s">
        <v>110</v>
      </c>
      <c r="B21" s="15"/>
      <c r="C21" s="15"/>
      <c r="D21" s="15"/>
      <c r="E21" s="15"/>
      <c r="F21" s="15"/>
      <c r="G21" s="15"/>
      <c r="H21" s="15"/>
      <c r="I21" s="15"/>
      <c r="J21" s="15"/>
      <c r="K21" s="15">
        <v>1.0</v>
      </c>
      <c r="L21" s="15"/>
      <c r="M21" s="15"/>
      <c r="N21" s="15"/>
      <c r="O21" s="15"/>
      <c r="P21" s="15"/>
      <c r="Q21" s="15"/>
      <c r="R21" s="15"/>
      <c r="S21" s="15"/>
      <c r="T21" s="15"/>
      <c r="U21" s="15"/>
      <c r="V21" s="24">
        <f t="shared" si="5"/>
        <v>1</v>
      </c>
      <c r="W21" s="20">
        <f t="shared" si="6"/>
        <v>0</v>
      </c>
    </row>
    <row r="22" ht="15.75" customHeight="1">
      <c r="A22" s="23" t="s">
        <v>100</v>
      </c>
      <c r="B22" s="15"/>
      <c r="C22" s="15"/>
      <c r="D22" s="15"/>
      <c r="E22" s="15"/>
      <c r="F22" s="15"/>
      <c r="G22" s="15"/>
      <c r="H22" s="15"/>
      <c r="I22" s="15"/>
      <c r="J22" s="15"/>
      <c r="K22" s="15"/>
      <c r="L22" s="15"/>
      <c r="M22" s="15"/>
      <c r="N22" s="15"/>
      <c r="O22" s="15"/>
      <c r="P22" s="15"/>
      <c r="Q22" s="15"/>
      <c r="R22" s="15"/>
      <c r="S22" s="15"/>
      <c r="T22" s="15"/>
      <c r="U22" s="15"/>
      <c r="V22" s="24">
        <f t="shared" si="5"/>
        <v>0</v>
      </c>
      <c r="W22" s="20">
        <f t="shared" si="6"/>
        <v>0</v>
      </c>
    </row>
    <row r="23" ht="15.75" customHeight="1">
      <c r="A23" s="23" t="s">
        <v>134</v>
      </c>
      <c r="B23" s="15"/>
      <c r="C23" s="15"/>
      <c r="D23" s="15"/>
      <c r="E23" s="15">
        <v>1.0</v>
      </c>
      <c r="F23" s="15"/>
      <c r="G23" s="15"/>
      <c r="H23" s="15"/>
      <c r="I23" s="15"/>
      <c r="J23" s="15"/>
      <c r="K23" s="15"/>
      <c r="L23" s="15"/>
      <c r="M23" s="15"/>
      <c r="N23" s="15"/>
      <c r="O23" s="15"/>
      <c r="P23" s="15"/>
      <c r="Q23" s="15"/>
      <c r="R23" s="15"/>
      <c r="S23" s="15"/>
      <c r="T23" s="15"/>
      <c r="U23" s="15"/>
      <c r="V23" s="24">
        <f t="shared" si="5"/>
        <v>1</v>
      </c>
      <c r="W23" s="20">
        <f t="shared" si="6"/>
        <v>0</v>
      </c>
    </row>
    <row r="24" ht="15.75" customHeight="1">
      <c r="A24" s="23" t="s">
        <v>135</v>
      </c>
      <c r="B24" s="15"/>
      <c r="C24" s="15"/>
      <c r="D24" s="15"/>
      <c r="E24" s="15"/>
      <c r="F24" s="15"/>
      <c r="G24" s="15"/>
      <c r="H24" s="15"/>
      <c r="I24" s="15"/>
      <c r="J24" s="15"/>
      <c r="K24" s="15"/>
      <c r="L24" s="15"/>
      <c r="M24" s="15"/>
      <c r="N24" s="15"/>
      <c r="O24" s="15"/>
      <c r="P24" s="15"/>
      <c r="Q24" s="15"/>
      <c r="R24" s="15"/>
      <c r="S24" s="15"/>
      <c r="T24" s="15"/>
      <c r="U24" s="15"/>
      <c r="V24" s="24">
        <f t="shared" si="5"/>
        <v>0</v>
      </c>
      <c r="W24" s="20">
        <f t="shared" si="6"/>
        <v>0</v>
      </c>
    </row>
    <row r="25" ht="15.75" customHeight="1">
      <c r="A25" s="23" t="s">
        <v>136</v>
      </c>
      <c r="B25" s="15"/>
      <c r="C25" s="15"/>
      <c r="D25" s="15"/>
      <c r="E25" s="15"/>
      <c r="F25" s="15"/>
      <c r="G25" s="15"/>
      <c r="H25" s="15"/>
      <c r="I25" s="15"/>
      <c r="J25" s="15"/>
      <c r="K25" s="15"/>
      <c r="L25" s="15"/>
      <c r="M25" s="15"/>
      <c r="N25" s="15"/>
      <c r="O25" s="15">
        <v>1.0</v>
      </c>
      <c r="P25" s="15"/>
      <c r="Q25" s="15"/>
      <c r="R25" s="15"/>
      <c r="S25" s="15"/>
      <c r="T25" s="15"/>
      <c r="U25" s="15"/>
      <c r="V25" s="24">
        <f t="shared" si="5"/>
        <v>1</v>
      </c>
      <c r="W25" s="20">
        <f t="shared" si="6"/>
        <v>0</v>
      </c>
    </row>
    <row r="26" ht="15.75" customHeight="1">
      <c r="A26" s="23" t="s">
        <v>104</v>
      </c>
      <c r="B26" s="15"/>
      <c r="C26" s="15"/>
      <c r="D26" s="15"/>
      <c r="E26" s="15">
        <v>1.0</v>
      </c>
      <c r="F26" s="15"/>
      <c r="G26" s="15"/>
      <c r="H26" s="15"/>
      <c r="I26" s="15"/>
      <c r="J26" s="15"/>
      <c r="K26" s="15"/>
      <c r="L26" s="15"/>
      <c r="M26" s="15"/>
      <c r="N26" s="15"/>
      <c r="O26" s="15"/>
      <c r="P26" s="15"/>
      <c r="Q26" s="15"/>
      <c r="R26" s="15"/>
      <c r="S26" s="15"/>
      <c r="T26" s="15"/>
      <c r="U26" s="15"/>
      <c r="V26" s="24">
        <f t="shared" si="5"/>
        <v>1</v>
      </c>
      <c r="W26" s="20">
        <f t="shared" si="6"/>
        <v>0</v>
      </c>
    </row>
    <row r="27" ht="15.75" customHeight="1">
      <c r="A27" s="23" t="s">
        <v>137</v>
      </c>
      <c r="B27" s="15">
        <v>1.0</v>
      </c>
      <c r="C27" s="15"/>
      <c r="D27" s="15">
        <v>1.0</v>
      </c>
      <c r="E27" s="15">
        <v>1.0</v>
      </c>
      <c r="F27" s="15">
        <v>1.0</v>
      </c>
      <c r="G27" s="15">
        <v>1.0</v>
      </c>
      <c r="H27" s="15">
        <v>1.0</v>
      </c>
      <c r="I27" s="15"/>
      <c r="J27" s="15">
        <v>1.0</v>
      </c>
      <c r="K27" s="15"/>
      <c r="L27" s="15"/>
      <c r="M27" s="15">
        <v>1.0</v>
      </c>
      <c r="N27" s="15">
        <v>1.0</v>
      </c>
      <c r="O27" s="15">
        <v>1.0</v>
      </c>
      <c r="P27" s="15"/>
      <c r="Q27" s="15"/>
      <c r="R27" s="15"/>
      <c r="S27" s="15"/>
      <c r="T27" s="15"/>
      <c r="U27" s="15"/>
      <c r="V27" s="24">
        <f t="shared" si="5"/>
        <v>10</v>
      </c>
      <c r="W27" s="20">
        <f t="shared" si="6"/>
        <v>0</v>
      </c>
    </row>
    <row r="28" ht="15.75" customHeight="1">
      <c r="A28" s="23" t="s">
        <v>101</v>
      </c>
      <c r="B28" s="15"/>
      <c r="C28" s="15"/>
      <c r="D28" s="15"/>
      <c r="E28" s="15"/>
      <c r="F28" s="15"/>
      <c r="G28" s="15"/>
      <c r="H28" s="15">
        <v>1.0</v>
      </c>
      <c r="I28" s="15"/>
      <c r="J28" s="15"/>
      <c r="K28" s="15"/>
      <c r="L28" s="15"/>
      <c r="M28" s="15"/>
      <c r="N28" s="15"/>
      <c r="O28" s="15"/>
      <c r="P28" s="15"/>
      <c r="Q28" s="15"/>
      <c r="R28" s="15"/>
      <c r="S28" s="15"/>
      <c r="T28" s="15"/>
      <c r="U28" s="15"/>
      <c r="V28" s="24">
        <f t="shared" si="5"/>
        <v>1</v>
      </c>
      <c r="W28" s="20">
        <f t="shared" si="6"/>
        <v>0</v>
      </c>
    </row>
    <row r="29" ht="15.75" customHeight="1">
      <c r="A29" s="23" t="s">
        <v>98</v>
      </c>
      <c r="B29" s="15">
        <v>1.0</v>
      </c>
      <c r="C29" s="15">
        <v>1.0</v>
      </c>
      <c r="D29" s="15"/>
      <c r="E29" s="15"/>
      <c r="F29" s="15"/>
      <c r="G29" s="15"/>
      <c r="H29" s="15"/>
      <c r="I29" s="15"/>
      <c r="J29" s="15">
        <v>1.0</v>
      </c>
      <c r="K29" s="15">
        <v>1.0</v>
      </c>
      <c r="L29" s="15">
        <v>1.0</v>
      </c>
      <c r="M29" s="15">
        <v>1.0</v>
      </c>
      <c r="N29" s="15">
        <v>1.0</v>
      </c>
      <c r="O29" s="15">
        <v>1.0</v>
      </c>
      <c r="P29" s="15"/>
      <c r="Q29" s="15"/>
      <c r="R29" s="15"/>
      <c r="S29" s="15"/>
      <c r="T29" s="15"/>
      <c r="U29" s="15"/>
      <c r="V29" s="24">
        <f t="shared" si="5"/>
        <v>8</v>
      </c>
      <c r="W29" s="20">
        <f t="shared" si="6"/>
        <v>0</v>
      </c>
    </row>
    <row r="30" ht="15.75" customHeight="1">
      <c r="A30" s="23" t="s">
        <v>138</v>
      </c>
      <c r="B30" s="15"/>
      <c r="C30" s="15"/>
      <c r="D30" s="15"/>
      <c r="E30" s="15"/>
      <c r="F30" s="15"/>
      <c r="G30" s="15"/>
      <c r="H30" s="15"/>
      <c r="I30" s="15"/>
      <c r="J30" s="15"/>
      <c r="K30" s="15"/>
      <c r="L30" s="15"/>
      <c r="M30" s="15"/>
      <c r="N30" s="15"/>
      <c r="O30" s="15"/>
      <c r="P30" s="15"/>
      <c r="Q30" s="15"/>
      <c r="R30" s="15"/>
      <c r="S30" s="15"/>
      <c r="T30" s="15"/>
      <c r="U30" s="15"/>
      <c r="V30" s="24">
        <f t="shared" si="5"/>
        <v>0</v>
      </c>
      <c r="W30" s="20">
        <f t="shared" si="6"/>
        <v>0</v>
      </c>
    </row>
    <row r="31" ht="15.75" customHeight="1">
      <c r="A31" s="23" t="s">
        <v>139</v>
      </c>
      <c r="B31" s="15"/>
      <c r="C31" s="15"/>
      <c r="D31" s="15"/>
      <c r="E31" s="15"/>
      <c r="F31" s="15"/>
      <c r="G31" s="15"/>
      <c r="H31" s="15"/>
      <c r="I31" s="15"/>
      <c r="J31" s="15"/>
      <c r="K31" s="15"/>
      <c r="L31" s="15"/>
      <c r="M31" s="15"/>
      <c r="N31" s="15">
        <v>1.0</v>
      </c>
      <c r="O31" s="15"/>
      <c r="P31" s="15"/>
      <c r="Q31" s="15"/>
      <c r="R31" s="15"/>
      <c r="S31" s="15"/>
      <c r="T31" s="15"/>
      <c r="U31" s="15"/>
      <c r="V31" s="24">
        <f t="shared" si="5"/>
        <v>1</v>
      </c>
      <c r="W31" s="20">
        <f t="shared" si="6"/>
        <v>0</v>
      </c>
    </row>
    <row r="32" ht="15.75" customHeight="1">
      <c r="A32" s="23" t="s">
        <v>140</v>
      </c>
      <c r="B32" s="15"/>
      <c r="C32" s="15"/>
      <c r="D32" s="15"/>
      <c r="E32" s="15"/>
      <c r="F32" s="15"/>
      <c r="G32" s="15"/>
      <c r="H32" s="15"/>
      <c r="I32" s="15"/>
      <c r="J32" s="15"/>
      <c r="K32" s="15"/>
      <c r="L32" s="15"/>
      <c r="M32" s="15"/>
      <c r="N32" s="15"/>
      <c r="O32" s="15"/>
      <c r="P32" s="15"/>
      <c r="Q32" s="15"/>
      <c r="R32" s="15"/>
      <c r="S32" s="15"/>
      <c r="T32" s="15"/>
      <c r="U32" s="15"/>
      <c r="V32" s="24">
        <f t="shared" si="5"/>
        <v>0</v>
      </c>
      <c r="W32" s="20">
        <f t="shared" si="6"/>
        <v>0</v>
      </c>
    </row>
    <row r="33" ht="15.75" customHeight="1">
      <c r="A33" s="23" t="s">
        <v>141</v>
      </c>
      <c r="B33" s="15"/>
      <c r="C33" s="15"/>
      <c r="D33" s="15"/>
      <c r="E33" s="15"/>
      <c r="F33" s="15"/>
      <c r="G33" s="15"/>
      <c r="H33" s="15"/>
      <c r="I33" s="15"/>
      <c r="J33" s="15"/>
      <c r="K33" s="15"/>
      <c r="L33" s="15"/>
      <c r="M33" s="15"/>
      <c r="N33" s="15"/>
      <c r="O33" s="15"/>
      <c r="P33" s="15"/>
      <c r="Q33" s="15"/>
      <c r="R33" s="15"/>
      <c r="S33" s="15"/>
      <c r="T33" s="15"/>
      <c r="U33" s="15"/>
      <c r="V33" s="24">
        <f t="shared" si="5"/>
        <v>0</v>
      </c>
      <c r="W33" s="20">
        <f t="shared" si="6"/>
        <v>0</v>
      </c>
    </row>
    <row r="34" ht="15.75" customHeight="1">
      <c r="A34" s="23" t="s">
        <v>105</v>
      </c>
      <c r="B34" s="15">
        <v>1.0</v>
      </c>
      <c r="C34" s="15">
        <v>1.0</v>
      </c>
      <c r="D34" s="15">
        <v>1.0</v>
      </c>
      <c r="E34" s="15">
        <v>1.0</v>
      </c>
      <c r="F34" s="15">
        <v>1.0</v>
      </c>
      <c r="G34" s="15">
        <v>1.0</v>
      </c>
      <c r="H34" s="15">
        <v>1.0</v>
      </c>
      <c r="I34" s="15"/>
      <c r="J34" s="15">
        <v>1.0</v>
      </c>
      <c r="K34" s="15">
        <v>1.0</v>
      </c>
      <c r="L34" s="15">
        <v>1.0</v>
      </c>
      <c r="M34" s="15"/>
      <c r="N34" s="15">
        <v>1.0</v>
      </c>
      <c r="O34" s="15">
        <v>1.0</v>
      </c>
      <c r="P34" s="15"/>
      <c r="Q34" s="15"/>
      <c r="R34" s="15"/>
      <c r="S34" s="15"/>
      <c r="T34" s="15"/>
      <c r="U34" s="15"/>
      <c r="V34" s="24">
        <f t="shared" si="5"/>
        <v>12</v>
      </c>
      <c r="W34" s="20">
        <f t="shared" si="6"/>
        <v>0</v>
      </c>
    </row>
    <row r="35" ht="15.75" customHeight="1">
      <c r="A35" s="23" t="s">
        <v>111</v>
      </c>
      <c r="B35" s="15">
        <v>1.0</v>
      </c>
      <c r="C35" s="15"/>
      <c r="D35" s="15">
        <v>1.0</v>
      </c>
      <c r="E35" s="15"/>
      <c r="F35" s="15"/>
      <c r="G35" s="15"/>
      <c r="H35" s="15"/>
      <c r="I35" s="15"/>
      <c r="J35" s="15">
        <v>1.0</v>
      </c>
      <c r="K35" s="15">
        <v>1.0</v>
      </c>
      <c r="L35" s="15">
        <v>1.0</v>
      </c>
      <c r="M35" s="15">
        <v>1.0</v>
      </c>
      <c r="N35" s="15"/>
      <c r="O35" s="15">
        <v>1.0</v>
      </c>
      <c r="P35" s="15"/>
      <c r="Q35" s="15"/>
      <c r="R35" s="15"/>
      <c r="S35" s="15"/>
      <c r="T35" s="15"/>
      <c r="U35" s="15"/>
      <c r="V35" s="24">
        <f t="shared" si="5"/>
        <v>7</v>
      </c>
      <c r="W35" s="20">
        <f t="shared" si="6"/>
        <v>0</v>
      </c>
    </row>
    <row r="36" ht="15.75" customHeight="1">
      <c r="A36" s="23" t="s">
        <v>102</v>
      </c>
      <c r="B36" s="15">
        <v>1.0</v>
      </c>
      <c r="C36" s="15">
        <v>1.0</v>
      </c>
      <c r="D36" s="15">
        <v>1.0</v>
      </c>
      <c r="E36" s="15"/>
      <c r="F36" s="15">
        <v>1.0</v>
      </c>
      <c r="G36" s="15"/>
      <c r="H36" s="15">
        <v>1.0</v>
      </c>
      <c r="I36" s="15"/>
      <c r="J36" s="15"/>
      <c r="K36" s="15">
        <v>1.0</v>
      </c>
      <c r="L36" s="15">
        <v>1.0</v>
      </c>
      <c r="M36" s="15">
        <v>1.0</v>
      </c>
      <c r="N36" s="15">
        <v>1.0</v>
      </c>
      <c r="O36" s="15"/>
      <c r="P36" s="15"/>
      <c r="Q36" s="15"/>
      <c r="R36" s="15"/>
      <c r="S36" s="15"/>
      <c r="T36" s="15"/>
      <c r="U36" s="15"/>
      <c r="V36" s="24">
        <f t="shared" si="5"/>
        <v>9</v>
      </c>
      <c r="W36" s="20">
        <f t="shared" si="6"/>
        <v>0</v>
      </c>
    </row>
    <row r="37" ht="15.75" customHeight="1">
      <c r="A37" s="23" t="s">
        <v>142</v>
      </c>
      <c r="B37" s="15"/>
      <c r="C37" s="15"/>
      <c r="D37" s="15"/>
      <c r="E37" s="15"/>
      <c r="F37" s="15"/>
      <c r="G37" s="15"/>
      <c r="H37" s="15"/>
      <c r="I37" s="15"/>
      <c r="J37" s="15"/>
      <c r="K37" s="15"/>
      <c r="L37" s="15"/>
      <c r="M37" s="15"/>
      <c r="N37" s="15"/>
      <c r="O37" s="15"/>
      <c r="P37" s="15"/>
      <c r="Q37" s="15"/>
      <c r="R37" s="15"/>
      <c r="S37" s="15"/>
      <c r="T37" s="15"/>
      <c r="U37" s="15"/>
      <c r="V37" s="24">
        <f t="shared" si="5"/>
        <v>0</v>
      </c>
      <c r="W37" s="20">
        <f t="shared" si="6"/>
        <v>0</v>
      </c>
    </row>
    <row r="38" ht="15.75" customHeight="1">
      <c r="A38" s="23" t="s">
        <v>99</v>
      </c>
      <c r="B38" s="15">
        <v>1.0</v>
      </c>
      <c r="C38" s="15">
        <v>1.0</v>
      </c>
      <c r="D38" s="15">
        <v>1.0</v>
      </c>
      <c r="E38" s="15">
        <v>1.0</v>
      </c>
      <c r="F38" s="15">
        <v>1.0</v>
      </c>
      <c r="G38" s="15">
        <v>1.0</v>
      </c>
      <c r="H38" s="15">
        <v>1.0</v>
      </c>
      <c r="I38" s="15"/>
      <c r="J38" s="15">
        <v>1.0</v>
      </c>
      <c r="K38" s="15">
        <v>1.0</v>
      </c>
      <c r="L38" s="15">
        <v>1.0</v>
      </c>
      <c r="M38" s="15"/>
      <c r="N38" s="15"/>
      <c r="O38" s="15">
        <v>1.0</v>
      </c>
      <c r="P38" s="15"/>
      <c r="Q38" s="15"/>
      <c r="R38" s="15"/>
      <c r="S38" s="15"/>
      <c r="T38" s="15"/>
      <c r="U38" s="15"/>
      <c r="V38" s="24">
        <f t="shared" si="5"/>
        <v>11</v>
      </c>
      <c r="W38" s="20">
        <f t="shared" si="6"/>
        <v>0</v>
      </c>
    </row>
    <row r="39" ht="15.75" customHeight="1">
      <c r="A39" s="23" t="s">
        <v>143</v>
      </c>
      <c r="B39" s="15">
        <v>1.0</v>
      </c>
      <c r="C39" s="15"/>
      <c r="D39" s="15"/>
      <c r="E39" s="15"/>
      <c r="F39" s="15">
        <v>1.0</v>
      </c>
      <c r="G39" s="15">
        <v>1.0</v>
      </c>
      <c r="H39" s="15">
        <v>1.0</v>
      </c>
      <c r="I39" s="15"/>
      <c r="J39" s="15">
        <v>1.0</v>
      </c>
      <c r="K39" s="15">
        <v>1.0</v>
      </c>
      <c r="L39" s="15"/>
      <c r="M39" s="15">
        <v>1.0</v>
      </c>
      <c r="N39" s="15">
        <v>1.0</v>
      </c>
      <c r="O39" s="15">
        <v>1.0</v>
      </c>
      <c r="P39" s="15"/>
      <c r="Q39" s="15"/>
      <c r="R39" s="15"/>
      <c r="S39" s="15"/>
      <c r="T39" s="15"/>
      <c r="U39" s="15"/>
      <c r="V39" s="24">
        <f t="shared" si="5"/>
        <v>9</v>
      </c>
      <c r="W39" s="20">
        <f t="shared" si="6"/>
        <v>0</v>
      </c>
    </row>
    <row r="40" ht="15.75" customHeight="1">
      <c r="A40" s="23"/>
      <c r="B40" s="15"/>
      <c r="C40" s="15"/>
      <c r="D40" s="15"/>
      <c r="E40" s="15"/>
      <c r="F40" s="15"/>
      <c r="G40" s="15"/>
      <c r="H40" s="15"/>
      <c r="I40" s="15"/>
      <c r="J40" s="15"/>
      <c r="K40" s="15"/>
      <c r="L40" s="15"/>
      <c r="M40" s="15"/>
      <c r="N40" s="15"/>
      <c r="O40" s="15"/>
      <c r="P40" s="15"/>
      <c r="Q40" s="15"/>
      <c r="R40" s="15"/>
      <c r="S40" s="15"/>
      <c r="T40" s="15"/>
      <c r="U40" s="15"/>
      <c r="V40" s="24">
        <f t="shared" si="5"/>
        <v>0</v>
      </c>
      <c r="W40" s="20">
        <f t="shared" si="6"/>
        <v>0</v>
      </c>
    </row>
    <row r="41" ht="15.75" customHeight="1">
      <c r="A41" s="23"/>
      <c r="B41" s="15"/>
      <c r="C41" s="15"/>
      <c r="D41" s="15"/>
      <c r="E41" s="15"/>
      <c r="F41" s="15"/>
      <c r="G41" s="15"/>
      <c r="H41" s="15"/>
      <c r="I41" s="15"/>
      <c r="J41" s="15"/>
      <c r="K41" s="15"/>
      <c r="L41" s="15"/>
      <c r="M41" s="15"/>
      <c r="N41" s="15"/>
      <c r="O41" s="15"/>
      <c r="P41" s="15"/>
      <c r="Q41" s="15"/>
      <c r="R41" s="15"/>
      <c r="S41" s="15"/>
      <c r="T41" s="15"/>
      <c r="U41" s="15"/>
      <c r="V41" s="24">
        <f t="shared" si="5"/>
        <v>0</v>
      </c>
      <c r="W41" s="20">
        <f t="shared" si="6"/>
        <v>0</v>
      </c>
    </row>
    <row r="42" ht="15.75" customHeight="1">
      <c r="A42" s="23"/>
      <c r="B42" s="15"/>
      <c r="C42" s="15"/>
      <c r="D42" s="15"/>
      <c r="E42" s="15"/>
      <c r="F42" s="15"/>
      <c r="G42" s="15"/>
      <c r="H42" s="15"/>
      <c r="I42" s="15"/>
      <c r="J42" s="15"/>
      <c r="K42" s="15"/>
      <c r="L42" s="15"/>
      <c r="M42" s="15"/>
      <c r="N42" s="15"/>
      <c r="O42" s="15"/>
      <c r="P42" s="15"/>
      <c r="Q42" s="15"/>
      <c r="R42" s="15"/>
      <c r="S42" s="15"/>
      <c r="T42" s="15"/>
      <c r="U42" s="15"/>
      <c r="V42" s="24">
        <f t="shared" si="5"/>
        <v>0</v>
      </c>
      <c r="W42" s="20">
        <f t="shared" si="6"/>
        <v>0</v>
      </c>
    </row>
    <row r="43" ht="15.75" customHeight="1">
      <c r="A43" s="23"/>
      <c r="B43" s="15"/>
      <c r="C43" s="15"/>
      <c r="D43" s="15"/>
      <c r="E43" s="15"/>
      <c r="F43" s="15"/>
      <c r="G43" s="15"/>
      <c r="H43" s="15"/>
      <c r="I43" s="15"/>
      <c r="J43" s="15"/>
      <c r="K43" s="15"/>
      <c r="L43" s="15"/>
      <c r="M43" s="15"/>
      <c r="N43" s="15"/>
      <c r="O43" s="15"/>
      <c r="P43" s="15"/>
      <c r="Q43" s="15"/>
      <c r="R43" s="15"/>
      <c r="S43" s="15"/>
      <c r="T43" s="15"/>
      <c r="U43" s="15"/>
      <c r="V43" s="24">
        <f t="shared" si="5"/>
        <v>0</v>
      </c>
      <c r="W43" s="20">
        <f t="shared" si="6"/>
        <v>0</v>
      </c>
    </row>
    <row r="44" ht="15.75" customHeight="1">
      <c r="A44" s="23"/>
      <c r="B44" s="15"/>
      <c r="C44" s="15"/>
      <c r="D44" s="15"/>
      <c r="E44" s="15"/>
      <c r="F44" s="15"/>
      <c r="G44" s="15"/>
      <c r="H44" s="15"/>
      <c r="I44" s="15"/>
      <c r="J44" s="15"/>
      <c r="K44" s="15"/>
      <c r="L44" s="15"/>
      <c r="M44" s="15"/>
      <c r="N44" s="15"/>
      <c r="O44" s="15"/>
      <c r="P44" s="15"/>
      <c r="Q44" s="15"/>
      <c r="R44" s="15"/>
      <c r="S44" s="15"/>
      <c r="T44" s="15"/>
      <c r="U44" s="15"/>
      <c r="V44" s="24">
        <f t="shared" si="5"/>
        <v>0</v>
      </c>
      <c r="W44" s="20">
        <f t="shared" si="6"/>
        <v>0</v>
      </c>
    </row>
    <row r="45" ht="15.75" customHeight="1">
      <c r="A45" s="23"/>
      <c r="B45" s="15"/>
      <c r="C45" s="15"/>
      <c r="D45" s="15"/>
      <c r="E45" s="15"/>
      <c r="F45" s="15"/>
      <c r="G45" s="15"/>
      <c r="H45" s="15"/>
      <c r="I45" s="15"/>
      <c r="J45" s="15"/>
      <c r="K45" s="15"/>
      <c r="L45" s="15"/>
      <c r="M45" s="15"/>
      <c r="N45" s="15"/>
      <c r="O45" s="15"/>
      <c r="P45" s="15"/>
      <c r="Q45" s="15"/>
      <c r="R45" s="15"/>
      <c r="S45" s="15"/>
      <c r="T45" s="15"/>
      <c r="U45" s="15"/>
      <c r="V45" s="24">
        <f t="shared" si="5"/>
        <v>0</v>
      </c>
      <c r="W45" s="20">
        <f t="shared" si="6"/>
        <v>0</v>
      </c>
    </row>
    <row r="46" ht="15.75" customHeight="1">
      <c r="A46" s="7" t="s">
        <v>144</v>
      </c>
      <c r="V46" s="24">
        <f t="shared" ref="V46:W46" si="7">SUM(V18:V45)</f>
        <v>81</v>
      </c>
      <c r="W46" s="25">
        <f t="shared" si="7"/>
        <v>0</v>
      </c>
    </row>
    <row r="47" ht="15.75" customHeight="1"/>
    <row r="48" ht="15.75" customHeight="1">
      <c r="A48" s="21" t="s">
        <v>146</v>
      </c>
      <c r="B48" s="22" t="s">
        <v>41</v>
      </c>
      <c r="C48" s="22" t="s">
        <v>42</v>
      </c>
      <c r="D48" s="22" t="s">
        <v>43</v>
      </c>
      <c r="E48" s="22" t="s">
        <v>44</v>
      </c>
      <c r="F48" s="22" t="s">
        <v>45</v>
      </c>
      <c r="G48" s="22" t="s">
        <v>46</v>
      </c>
      <c r="H48" s="22" t="s">
        <v>47</v>
      </c>
      <c r="I48" s="22" t="s">
        <v>48</v>
      </c>
      <c r="J48" s="22" t="s">
        <v>49</v>
      </c>
      <c r="K48" s="22" t="s">
        <v>50</v>
      </c>
      <c r="L48" s="22" t="s">
        <v>51</v>
      </c>
      <c r="M48" s="22" t="s">
        <v>52</v>
      </c>
      <c r="N48" s="22" t="s">
        <v>53</v>
      </c>
      <c r="O48" s="22" t="s">
        <v>54</v>
      </c>
      <c r="P48" s="22" t="s">
        <v>55</v>
      </c>
      <c r="Q48" s="22" t="s">
        <v>56</v>
      </c>
      <c r="R48" s="22" t="s">
        <v>57</v>
      </c>
      <c r="S48" s="22" t="s">
        <v>58</v>
      </c>
      <c r="T48" s="22" t="s">
        <v>59</v>
      </c>
      <c r="U48" s="22" t="s">
        <v>60</v>
      </c>
      <c r="V48" s="22" t="s">
        <v>147</v>
      </c>
    </row>
    <row r="49" ht="15.75" customHeight="1">
      <c r="A49" s="23" t="str">
        <f t="shared" ref="A49:A76" si="8">IF($A18="","",$A18)</f>
        <v>Ahmed</v>
      </c>
      <c r="B49" s="15"/>
      <c r="C49" s="15"/>
      <c r="D49" s="15"/>
      <c r="E49" s="15"/>
      <c r="F49" s="15"/>
      <c r="G49" s="15"/>
      <c r="H49" s="15"/>
      <c r="I49" s="15"/>
      <c r="J49" s="15"/>
      <c r="K49" s="15"/>
      <c r="L49" s="15"/>
      <c r="M49" s="15"/>
      <c r="N49" s="15"/>
      <c r="O49" s="15"/>
      <c r="P49" s="15"/>
      <c r="Q49" s="15"/>
      <c r="R49" s="15"/>
      <c r="S49" s="15"/>
      <c r="T49" s="15"/>
      <c r="U49" s="15"/>
      <c r="V49" s="24">
        <f t="shared" ref="V49:V76" si="9">SUMPRODUCT(B49:U49*($B$16:$U$16=""))</f>
        <v>0</v>
      </c>
    </row>
    <row r="50" ht="15.75" customHeight="1">
      <c r="A50" s="23" t="str">
        <f t="shared" si="8"/>
        <v>Alex Ruben</v>
      </c>
      <c r="B50" s="15"/>
      <c r="C50" s="15"/>
      <c r="D50" s="15"/>
      <c r="E50" s="15"/>
      <c r="F50" s="15"/>
      <c r="G50" s="15"/>
      <c r="H50" s="15"/>
      <c r="I50" s="15"/>
      <c r="J50" s="15"/>
      <c r="K50" s="15"/>
      <c r="L50" s="15"/>
      <c r="M50" s="15"/>
      <c r="N50" s="15"/>
      <c r="O50" s="15"/>
      <c r="P50" s="15"/>
      <c r="Q50" s="15"/>
      <c r="R50" s="15"/>
      <c r="S50" s="15"/>
      <c r="T50" s="15"/>
      <c r="U50" s="15"/>
      <c r="V50" s="24">
        <f t="shared" si="9"/>
        <v>0</v>
      </c>
    </row>
    <row r="51" ht="15.75" customHeight="1">
      <c r="A51" s="23" t="str">
        <f t="shared" si="8"/>
        <v>Andy Cowan</v>
      </c>
      <c r="B51" s="15">
        <v>1.0</v>
      </c>
      <c r="C51" s="15"/>
      <c r="D51" s="15"/>
      <c r="E51" s="15"/>
      <c r="F51" s="15"/>
      <c r="G51" s="15"/>
      <c r="H51" s="15"/>
      <c r="I51" s="15"/>
      <c r="J51" s="15"/>
      <c r="K51" s="15"/>
      <c r="L51" s="15"/>
      <c r="M51" s="15"/>
      <c r="N51" s="15"/>
      <c r="O51" s="15"/>
      <c r="P51" s="15"/>
      <c r="Q51" s="15"/>
      <c r="R51" s="15"/>
      <c r="S51" s="15"/>
      <c r="T51" s="15"/>
      <c r="U51" s="15"/>
      <c r="V51" s="24">
        <f t="shared" si="9"/>
        <v>1</v>
      </c>
    </row>
    <row r="52" ht="15.75" customHeight="1">
      <c r="A52" s="23" t="str">
        <f t="shared" si="8"/>
        <v>Ben Merrett</v>
      </c>
      <c r="B52" s="15"/>
      <c r="C52" s="15"/>
      <c r="D52" s="15"/>
      <c r="E52" s="15"/>
      <c r="F52" s="15"/>
      <c r="G52" s="15"/>
      <c r="H52" s="15"/>
      <c r="I52" s="15"/>
      <c r="J52" s="15"/>
      <c r="K52" s="15"/>
      <c r="L52" s="15"/>
      <c r="M52" s="15"/>
      <c r="N52" s="15"/>
      <c r="O52" s="15"/>
      <c r="P52" s="15"/>
      <c r="Q52" s="15"/>
      <c r="R52" s="15"/>
      <c r="S52" s="15"/>
      <c r="T52" s="15"/>
      <c r="U52" s="15"/>
      <c r="V52" s="24">
        <f t="shared" si="9"/>
        <v>0</v>
      </c>
    </row>
    <row r="53" ht="15.75" customHeight="1">
      <c r="A53" s="23" t="str">
        <f t="shared" si="8"/>
        <v>Callum McCarthy</v>
      </c>
      <c r="B53" s="15"/>
      <c r="C53" s="15"/>
      <c r="D53" s="15"/>
      <c r="E53" s="15"/>
      <c r="F53" s="15"/>
      <c r="G53" s="15"/>
      <c r="H53" s="15"/>
      <c r="I53" s="15"/>
      <c r="J53" s="15"/>
      <c r="K53" s="15"/>
      <c r="L53" s="15"/>
      <c r="M53" s="15"/>
      <c r="N53" s="15"/>
      <c r="O53" s="15"/>
      <c r="P53" s="15"/>
      <c r="Q53" s="15"/>
      <c r="R53" s="15"/>
      <c r="S53" s="15"/>
      <c r="T53" s="15"/>
      <c r="U53" s="15"/>
      <c r="V53" s="24">
        <f t="shared" si="9"/>
        <v>0</v>
      </c>
    </row>
    <row r="54" ht="15.75" customHeight="1">
      <c r="A54" s="23" t="str">
        <f t="shared" si="8"/>
        <v>Cecil Watson</v>
      </c>
      <c r="B54" s="15"/>
      <c r="C54" s="15"/>
      <c r="D54" s="15"/>
      <c r="E54" s="15"/>
      <c r="F54" s="15"/>
      <c r="G54" s="15"/>
      <c r="H54" s="15"/>
      <c r="I54" s="15"/>
      <c r="J54" s="15"/>
      <c r="K54" s="15"/>
      <c r="L54" s="15"/>
      <c r="M54" s="15"/>
      <c r="N54" s="15"/>
      <c r="O54" s="15"/>
      <c r="P54" s="15"/>
      <c r="Q54" s="15"/>
      <c r="R54" s="15"/>
      <c r="S54" s="15"/>
      <c r="T54" s="15"/>
      <c r="U54" s="15"/>
      <c r="V54" s="24">
        <f t="shared" si="9"/>
        <v>0</v>
      </c>
    </row>
    <row r="55" ht="15.75" customHeight="1">
      <c r="A55" s="23" t="str">
        <f t="shared" si="8"/>
        <v>Conall Templeman</v>
      </c>
      <c r="B55" s="15"/>
      <c r="C55" s="15"/>
      <c r="D55" s="15"/>
      <c r="E55" s="15"/>
      <c r="F55" s="15"/>
      <c r="G55" s="15"/>
      <c r="H55" s="15"/>
      <c r="I55" s="15"/>
      <c r="J55" s="15"/>
      <c r="K55" s="15"/>
      <c r="L55" s="15"/>
      <c r="M55" s="15"/>
      <c r="N55" s="15"/>
      <c r="O55" s="15"/>
      <c r="P55" s="15"/>
      <c r="Q55" s="15"/>
      <c r="R55" s="15"/>
      <c r="S55" s="15"/>
      <c r="T55" s="15"/>
      <c r="U55" s="15"/>
      <c r="V55" s="24">
        <f t="shared" si="9"/>
        <v>0</v>
      </c>
    </row>
    <row r="56" ht="15.75" customHeight="1">
      <c r="A56" s="23" t="str">
        <f t="shared" si="8"/>
        <v>Eddie Ringer</v>
      </c>
      <c r="B56" s="15"/>
      <c r="C56" s="15"/>
      <c r="D56" s="15"/>
      <c r="E56" s="15"/>
      <c r="F56" s="15"/>
      <c r="G56" s="15"/>
      <c r="H56" s="15"/>
      <c r="I56" s="15"/>
      <c r="J56" s="15"/>
      <c r="K56" s="15"/>
      <c r="L56" s="15"/>
      <c r="M56" s="15"/>
      <c r="N56" s="15"/>
      <c r="O56" s="15">
        <v>4.0</v>
      </c>
      <c r="P56" s="15"/>
      <c r="Q56" s="15"/>
      <c r="R56" s="15"/>
      <c r="S56" s="15"/>
      <c r="T56" s="15"/>
      <c r="U56" s="15"/>
      <c r="V56" s="24">
        <f t="shared" si="9"/>
        <v>4</v>
      </c>
    </row>
    <row r="57" ht="15.75" customHeight="1">
      <c r="A57" s="23" t="str">
        <f t="shared" si="8"/>
        <v>Finn Cawley</v>
      </c>
      <c r="B57" s="15"/>
      <c r="C57" s="15"/>
      <c r="D57" s="15"/>
      <c r="E57" s="15">
        <v>1.0</v>
      </c>
      <c r="F57" s="15"/>
      <c r="G57" s="15"/>
      <c r="H57" s="15"/>
      <c r="I57" s="15"/>
      <c r="J57" s="15"/>
      <c r="K57" s="15"/>
      <c r="L57" s="15"/>
      <c r="M57" s="15"/>
      <c r="N57" s="15"/>
      <c r="O57" s="15"/>
      <c r="P57" s="15"/>
      <c r="Q57" s="15"/>
      <c r="R57" s="15"/>
      <c r="S57" s="15"/>
      <c r="T57" s="15"/>
      <c r="U57" s="15"/>
      <c r="V57" s="24">
        <f t="shared" si="9"/>
        <v>1</v>
      </c>
    </row>
    <row r="58" ht="15.75" customHeight="1">
      <c r="A58" s="23" t="str">
        <f t="shared" si="8"/>
        <v>George Barbantan</v>
      </c>
      <c r="B58" s="15"/>
      <c r="C58" s="15"/>
      <c r="D58" s="15">
        <v>1.0</v>
      </c>
      <c r="E58" s="15"/>
      <c r="F58" s="15"/>
      <c r="G58" s="15"/>
      <c r="H58" s="15"/>
      <c r="I58" s="15"/>
      <c r="J58" s="15">
        <v>1.0</v>
      </c>
      <c r="K58" s="15"/>
      <c r="L58" s="15"/>
      <c r="M58" s="15"/>
      <c r="N58" s="15"/>
      <c r="O58" s="15"/>
      <c r="P58" s="15"/>
      <c r="Q58" s="15"/>
      <c r="R58" s="15"/>
      <c r="S58" s="15"/>
      <c r="T58" s="15"/>
      <c r="U58" s="15"/>
      <c r="V58" s="24">
        <f t="shared" si="9"/>
        <v>2</v>
      </c>
    </row>
    <row r="59" ht="15.75" customHeight="1">
      <c r="A59" s="23" t="str">
        <f t="shared" si="8"/>
        <v>Henry Linklater</v>
      </c>
      <c r="B59" s="15"/>
      <c r="C59" s="15"/>
      <c r="D59" s="15"/>
      <c r="E59" s="15"/>
      <c r="F59" s="15"/>
      <c r="G59" s="15"/>
      <c r="H59" s="15"/>
      <c r="I59" s="15"/>
      <c r="J59" s="15"/>
      <c r="K59" s="15"/>
      <c r="L59" s="15"/>
      <c r="M59" s="15"/>
      <c r="N59" s="15"/>
      <c r="O59" s="15"/>
      <c r="P59" s="15"/>
      <c r="Q59" s="15"/>
      <c r="R59" s="15"/>
      <c r="S59" s="15"/>
      <c r="T59" s="15"/>
      <c r="U59" s="15"/>
      <c r="V59" s="24">
        <f t="shared" si="9"/>
        <v>0</v>
      </c>
    </row>
    <row r="60" ht="15.75" customHeight="1">
      <c r="A60" s="23" t="str">
        <f t="shared" si="8"/>
        <v>Isaac Mond</v>
      </c>
      <c r="B60" s="15"/>
      <c r="C60" s="15"/>
      <c r="D60" s="15"/>
      <c r="E60" s="15"/>
      <c r="F60" s="15"/>
      <c r="G60" s="15"/>
      <c r="H60" s="15"/>
      <c r="I60" s="15"/>
      <c r="J60" s="15"/>
      <c r="K60" s="15"/>
      <c r="L60" s="15"/>
      <c r="M60" s="15"/>
      <c r="N60" s="15"/>
      <c r="O60" s="15">
        <v>1.0</v>
      </c>
      <c r="P60" s="15"/>
      <c r="Q60" s="15"/>
      <c r="R60" s="15"/>
      <c r="S60" s="15"/>
      <c r="T60" s="15"/>
      <c r="U60" s="15"/>
      <c r="V60" s="24">
        <f t="shared" si="9"/>
        <v>1</v>
      </c>
    </row>
    <row r="61" ht="15.75" customHeight="1">
      <c r="A61" s="23" t="str">
        <f t="shared" si="8"/>
        <v>Jake Harrison</v>
      </c>
      <c r="B61" s="15"/>
      <c r="C61" s="15"/>
      <c r="D61" s="15"/>
      <c r="E61" s="15"/>
      <c r="F61" s="15"/>
      <c r="G61" s="15"/>
      <c r="H61" s="15"/>
      <c r="I61" s="15"/>
      <c r="J61" s="15"/>
      <c r="K61" s="15"/>
      <c r="L61" s="15"/>
      <c r="M61" s="15"/>
      <c r="N61" s="15"/>
      <c r="O61" s="15"/>
      <c r="P61" s="15"/>
      <c r="Q61" s="15"/>
      <c r="R61" s="15"/>
      <c r="S61" s="15"/>
      <c r="T61" s="15"/>
      <c r="U61" s="15"/>
      <c r="V61" s="24">
        <f t="shared" si="9"/>
        <v>0</v>
      </c>
    </row>
    <row r="62" ht="15.75" customHeight="1">
      <c r="A62" s="23" t="str">
        <f t="shared" si="8"/>
        <v>Jake Ringer</v>
      </c>
      <c r="B62" s="15"/>
      <c r="C62" s="15"/>
      <c r="D62" s="15"/>
      <c r="E62" s="15"/>
      <c r="F62" s="15"/>
      <c r="G62" s="15"/>
      <c r="H62" s="15"/>
      <c r="I62" s="15"/>
      <c r="J62" s="15"/>
      <c r="K62" s="15"/>
      <c r="L62" s="15"/>
      <c r="M62" s="15"/>
      <c r="N62" s="15"/>
      <c r="O62" s="15"/>
      <c r="P62" s="15"/>
      <c r="Q62" s="15"/>
      <c r="R62" s="15"/>
      <c r="S62" s="15"/>
      <c r="T62" s="15"/>
      <c r="U62" s="15"/>
      <c r="V62" s="24">
        <f t="shared" si="9"/>
        <v>0</v>
      </c>
    </row>
    <row r="63" ht="15.75" customHeight="1">
      <c r="A63" s="23" t="str">
        <f t="shared" si="8"/>
        <v>Keshav Singh</v>
      </c>
      <c r="B63" s="15"/>
      <c r="C63" s="15"/>
      <c r="D63" s="15"/>
      <c r="E63" s="15"/>
      <c r="F63" s="15"/>
      <c r="G63" s="15"/>
      <c r="H63" s="15"/>
      <c r="I63" s="15"/>
      <c r="J63" s="15"/>
      <c r="K63" s="15"/>
      <c r="L63" s="15"/>
      <c r="M63" s="15"/>
      <c r="N63" s="15"/>
      <c r="O63" s="15"/>
      <c r="P63" s="15"/>
      <c r="Q63" s="15"/>
      <c r="R63" s="15"/>
      <c r="S63" s="15"/>
      <c r="T63" s="15"/>
      <c r="U63" s="15"/>
      <c r="V63" s="24">
        <f t="shared" si="9"/>
        <v>0</v>
      </c>
    </row>
    <row r="64" ht="15.75" customHeight="1">
      <c r="A64" s="23" t="str">
        <f t="shared" si="8"/>
        <v>Mark Pellowe</v>
      </c>
      <c r="B64" s="15"/>
      <c r="C64" s="15"/>
      <c r="D64" s="15"/>
      <c r="E64" s="15"/>
      <c r="F64" s="15"/>
      <c r="G64" s="15"/>
      <c r="H64" s="15"/>
      <c r="I64" s="15"/>
      <c r="J64" s="15"/>
      <c r="K64" s="15"/>
      <c r="L64" s="15"/>
      <c r="M64" s="15"/>
      <c r="N64" s="15"/>
      <c r="O64" s="15"/>
      <c r="P64" s="15"/>
      <c r="Q64" s="15"/>
      <c r="R64" s="15"/>
      <c r="S64" s="15"/>
      <c r="T64" s="15"/>
      <c r="U64" s="15"/>
      <c r="V64" s="24">
        <f t="shared" si="9"/>
        <v>0</v>
      </c>
    </row>
    <row r="65" ht="15.75" customHeight="1">
      <c r="A65" s="23" t="str">
        <f t="shared" si="8"/>
        <v>Max Cobain</v>
      </c>
      <c r="B65" s="15"/>
      <c r="C65" s="15"/>
      <c r="D65" s="15"/>
      <c r="E65" s="15"/>
      <c r="F65" s="15">
        <v>2.0</v>
      </c>
      <c r="G65" s="15">
        <v>1.0</v>
      </c>
      <c r="H65" s="15"/>
      <c r="I65" s="15"/>
      <c r="J65" s="15"/>
      <c r="K65" s="15">
        <v>1.0</v>
      </c>
      <c r="L65" s="15"/>
      <c r="M65" s="15"/>
      <c r="N65" s="15"/>
      <c r="O65" s="15">
        <v>1.0</v>
      </c>
      <c r="P65" s="15"/>
      <c r="Q65" s="15"/>
      <c r="R65" s="15"/>
      <c r="S65" s="15"/>
      <c r="T65" s="15"/>
      <c r="U65" s="15"/>
      <c r="V65" s="24">
        <f t="shared" si="9"/>
        <v>5</v>
      </c>
    </row>
    <row r="66" ht="15.75" customHeight="1">
      <c r="A66" s="23" t="str">
        <f t="shared" si="8"/>
        <v>Neeraj Radia</v>
      </c>
      <c r="B66" s="15"/>
      <c r="C66" s="15"/>
      <c r="D66" s="15"/>
      <c r="E66" s="15"/>
      <c r="F66" s="15"/>
      <c r="G66" s="15"/>
      <c r="H66" s="15"/>
      <c r="I66" s="15"/>
      <c r="J66" s="15"/>
      <c r="K66" s="15"/>
      <c r="L66" s="15"/>
      <c r="M66" s="15"/>
      <c r="N66" s="15"/>
      <c r="O66" s="15"/>
      <c r="P66" s="15"/>
      <c r="Q66" s="15"/>
      <c r="R66" s="15"/>
      <c r="S66" s="15"/>
      <c r="T66" s="15"/>
      <c r="U66" s="15"/>
      <c r="V66" s="24">
        <f t="shared" si="9"/>
        <v>0</v>
      </c>
    </row>
    <row r="67" ht="15.75" customHeight="1">
      <c r="A67" s="23" t="str">
        <f t="shared" si="8"/>
        <v>Phil Knott</v>
      </c>
      <c r="B67" s="15">
        <v>1.0</v>
      </c>
      <c r="C67" s="15"/>
      <c r="D67" s="15"/>
      <c r="E67" s="15"/>
      <c r="F67" s="15">
        <v>1.0</v>
      </c>
      <c r="G67" s="15"/>
      <c r="H67" s="15"/>
      <c r="I67" s="15"/>
      <c r="J67" s="15"/>
      <c r="K67" s="15"/>
      <c r="L67" s="15"/>
      <c r="M67" s="15"/>
      <c r="N67" s="15">
        <v>1.0</v>
      </c>
      <c r="O67" s="15"/>
      <c r="P67" s="15"/>
      <c r="Q67" s="15"/>
      <c r="R67" s="15"/>
      <c r="S67" s="15"/>
      <c r="T67" s="15"/>
      <c r="U67" s="15"/>
      <c r="V67" s="24">
        <f t="shared" si="9"/>
        <v>3</v>
      </c>
    </row>
    <row r="68" ht="15.75" customHeight="1">
      <c r="A68" s="23" t="str">
        <f t="shared" si="8"/>
        <v>Robin</v>
      </c>
      <c r="B68" s="15"/>
      <c r="C68" s="15"/>
      <c r="D68" s="15"/>
      <c r="E68" s="15"/>
      <c r="F68" s="15"/>
      <c r="G68" s="15"/>
      <c r="H68" s="15"/>
      <c r="I68" s="15"/>
      <c r="J68" s="15"/>
      <c r="K68" s="15"/>
      <c r="L68" s="15"/>
      <c r="M68" s="15"/>
      <c r="N68" s="15"/>
      <c r="O68" s="15"/>
      <c r="P68" s="15"/>
      <c r="Q68" s="15"/>
      <c r="R68" s="15"/>
      <c r="S68" s="15"/>
      <c r="T68" s="15"/>
      <c r="U68" s="15"/>
      <c r="V68" s="24">
        <f t="shared" si="9"/>
        <v>0</v>
      </c>
    </row>
    <row r="69" ht="15.75" customHeight="1">
      <c r="A69" s="23" t="str">
        <f t="shared" si="8"/>
        <v>Sam Holt</v>
      </c>
      <c r="B69" s="15"/>
      <c r="C69" s="15"/>
      <c r="D69" s="15"/>
      <c r="E69" s="15"/>
      <c r="F69" s="15"/>
      <c r="G69" s="15"/>
      <c r="H69" s="15"/>
      <c r="I69" s="15"/>
      <c r="J69" s="15"/>
      <c r="K69" s="15"/>
      <c r="L69" s="15"/>
      <c r="M69" s="15"/>
      <c r="N69" s="15"/>
      <c r="O69" s="15"/>
      <c r="P69" s="15"/>
      <c r="Q69" s="15"/>
      <c r="R69" s="15"/>
      <c r="S69" s="15"/>
      <c r="T69" s="15"/>
      <c r="U69" s="15"/>
      <c r="V69" s="24">
        <f t="shared" si="9"/>
        <v>0</v>
      </c>
    </row>
    <row r="70" ht="15.75" customHeight="1">
      <c r="A70" s="23" t="str">
        <f t="shared" si="8"/>
        <v>Seb Burgess</v>
      </c>
      <c r="B70" s="15">
        <v>1.0</v>
      </c>
      <c r="C70" s="15"/>
      <c r="D70" s="15"/>
      <c r="E70" s="15"/>
      <c r="F70" s="15">
        <v>2.0</v>
      </c>
      <c r="G70" s="15"/>
      <c r="H70" s="15"/>
      <c r="I70" s="15"/>
      <c r="J70" s="15">
        <v>1.0</v>
      </c>
      <c r="K70" s="15"/>
      <c r="L70" s="15"/>
      <c r="M70" s="15">
        <v>1.0</v>
      </c>
      <c r="N70" s="15">
        <v>1.0</v>
      </c>
      <c r="O70" s="15">
        <v>4.0</v>
      </c>
      <c r="P70" s="15"/>
      <c r="Q70" s="15"/>
      <c r="R70" s="15"/>
      <c r="S70" s="15"/>
      <c r="T70" s="15"/>
      <c r="U70" s="15"/>
      <c r="V70" s="24">
        <f t="shared" si="9"/>
        <v>10</v>
      </c>
    </row>
    <row r="71" ht="15.75" customHeight="1">
      <c r="A71" s="23" t="str">
        <f t="shared" si="8"/>
        <v/>
      </c>
      <c r="B71" s="15"/>
      <c r="C71" s="15"/>
      <c r="D71" s="15"/>
      <c r="E71" s="15"/>
      <c r="F71" s="15"/>
      <c r="G71" s="15"/>
      <c r="H71" s="15"/>
      <c r="I71" s="15"/>
      <c r="J71" s="15"/>
      <c r="K71" s="15"/>
      <c r="L71" s="15"/>
      <c r="M71" s="15"/>
      <c r="N71" s="15"/>
      <c r="O71" s="15"/>
      <c r="P71" s="15"/>
      <c r="Q71" s="15"/>
      <c r="R71" s="15"/>
      <c r="S71" s="15"/>
      <c r="T71" s="15"/>
      <c r="U71" s="15"/>
      <c r="V71" s="24">
        <f t="shared" si="9"/>
        <v>0</v>
      </c>
    </row>
    <row r="72" ht="15.75" customHeight="1">
      <c r="A72" s="23" t="str">
        <f t="shared" si="8"/>
        <v/>
      </c>
      <c r="B72" s="15"/>
      <c r="C72" s="15"/>
      <c r="D72" s="15"/>
      <c r="E72" s="15"/>
      <c r="F72" s="15"/>
      <c r="G72" s="15"/>
      <c r="H72" s="15"/>
      <c r="I72" s="15"/>
      <c r="J72" s="15"/>
      <c r="K72" s="15"/>
      <c r="L72" s="15"/>
      <c r="M72" s="15"/>
      <c r="N72" s="15"/>
      <c r="O72" s="15"/>
      <c r="P72" s="15"/>
      <c r="Q72" s="15"/>
      <c r="R72" s="15"/>
      <c r="S72" s="15"/>
      <c r="T72" s="15"/>
      <c r="U72" s="15"/>
      <c r="V72" s="24">
        <f t="shared" si="9"/>
        <v>0</v>
      </c>
    </row>
    <row r="73" ht="15.75" customHeight="1">
      <c r="A73" s="23" t="str">
        <f t="shared" si="8"/>
        <v/>
      </c>
      <c r="B73" s="15"/>
      <c r="C73" s="15"/>
      <c r="D73" s="15"/>
      <c r="E73" s="15"/>
      <c r="F73" s="15"/>
      <c r="G73" s="15"/>
      <c r="H73" s="15"/>
      <c r="I73" s="15"/>
      <c r="J73" s="15"/>
      <c r="K73" s="15"/>
      <c r="L73" s="15"/>
      <c r="M73" s="15"/>
      <c r="N73" s="15"/>
      <c r="O73" s="15"/>
      <c r="P73" s="15"/>
      <c r="Q73" s="15"/>
      <c r="R73" s="15"/>
      <c r="S73" s="15"/>
      <c r="T73" s="15"/>
      <c r="U73" s="15"/>
      <c r="V73" s="24">
        <f t="shared" si="9"/>
        <v>0</v>
      </c>
    </row>
    <row r="74" ht="15.75" customHeight="1">
      <c r="A74" s="23" t="str">
        <f t="shared" si="8"/>
        <v/>
      </c>
      <c r="B74" s="15"/>
      <c r="C74" s="15"/>
      <c r="D74" s="15"/>
      <c r="E74" s="15"/>
      <c r="F74" s="15"/>
      <c r="G74" s="15"/>
      <c r="H74" s="15"/>
      <c r="I74" s="15"/>
      <c r="J74" s="15"/>
      <c r="K74" s="15"/>
      <c r="L74" s="15"/>
      <c r="M74" s="15"/>
      <c r="N74" s="15"/>
      <c r="O74" s="15"/>
      <c r="P74" s="15"/>
      <c r="Q74" s="15"/>
      <c r="R74" s="15"/>
      <c r="S74" s="15"/>
      <c r="T74" s="15"/>
      <c r="U74" s="15"/>
      <c r="V74" s="24">
        <f t="shared" si="9"/>
        <v>0</v>
      </c>
    </row>
    <row r="75" ht="15.75" customHeight="1">
      <c r="A75" s="23" t="str">
        <f t="shared" si="8"/>
        <v/>
      </c>
      <c r="B75" s="15"/>
      <c r="C75" s="15"/>
      <c r="D75" s="15"/>
      <c r="E75" s="15"/>
      <c r="F75" s="15"/>
      <c r="G75" s="15"/>
      <c r="H75" s="15"/>
      <c r="I75" s="15"/>
      <c r="J75" s="15"/>
      <c r="K75" s="15"/>
      <c r="L75" s="15"/>
      <c r="M75" s="15"/>
      <c r="N75" s="15"/>
      <c r="O75" s="15"/>
      <c r="P75" s="15"/>
      <c r="Q75" s="15"/>
      <c r="R75" s="15"/>
      <c r="S75" s="15"/>
      <c r="T75" s="15"/>
      <c r="U75" s="15"/>
      <c r="V75" s="24">
        <f t="shared" si="9"/>
        <v>0</v>
      </c>
    </row>
    <row r="76" ht="15.75" customHeight="1">
      <c r="A76" s="23" t="str">
        <f t="shared" si="8"/>
        <v/>
      </c>
      <c r="B76" s="15"/>
      <c r="C76" s="15"/>
      <c r="D76" s="15"/>
      <c r="E76" s="15"/>
      <c r="F76" s="15"/>
      <c r="G76" s="15"/>
      <c r="H76" s="15"/>
      <c r="I76" s="15"/>
      <c r="J76" s="15"/>
      <c r="K76" s="15"/>
      <c r="L76" s="15"/>
      <c r="M76" s="15"/>
      <c r="N76" s="15"/>
      <c r="O76" s="15"/>
      <c r="P76" s="15"/>
      <c r="Q76" s="15"/>
      <c r="R76" s="15"/>
      <c r="S76" s="15"/>
      <c r="T76" s="15"/>
      <c r="U76" s="15"/>
      <c r="V76" s="24">
        <f t="shared" si="9"/>
        <v>0</v>
      </c>
    </row>
    <row r="77" ht="15.75" customHeight="1">
      <c r="A77" s="7" t="s">
        <v>144</v>
      </c>
      <c r="V77" s="24">
        <f>SUM(V49:V76)</f>
        <v>27</v>
      </c>
    </row>
    <row r="78" ht="15.75" customHeight="1"/>
    <row r="79" ht="15.75" customHeight="1">
      <c r="A79" s="21" t="s">
        <v>148</v>
      </c>
      <c r="B79" s="22" t="s">
        <v>41</v>
      </c>
      <c r="C79" s="22" t="s">
        <v>42</v>
      </c>
      <c r="D79" s="22" t="s">
        <v>43</v>
      </c>
      <c r="E79" s="22" t="s">
        <v>44</v>
      </c>
      <c r="F79" s="22" t="s">
        <v>45</v>
      </c>
      <c r="G79" s="22" t="s">
        <v>46</v>
      </c>
      <c r="H79" s="22" t="s">
        <v>47</v>
      </c>
      <c r="I79" s="22" t="s">
        <v>48</v>
      </c>
      <c r="J79" s="22" t="s">
        <v>49</v>
      </c>
      <c r="K79" s="22" t="s">
        <v>50</v>
      </c>
      <c r="L79" s="22" t="s">
        <v>51</v>
      </c>
      <c r="M79" s="22" t="s">
        <v>52</v>
      </c>
      <c r="N79" s="22" t="s">
        <v>53</v>
      </c>
      <c r="O79" s="22" t="s">
        <v>54</v>
      </c>
      <c r="P79" s="22" t="s">
        <v>55</v>
      </c>
      <c r="Q79" s="22" t="s">
        <v>56</v>
      </c>
      <c r="R79" s="22" t="s">
        <v>57</v>
      </c>
      <c r="S79" s="22" t="s">
        <v>58</v>
      </c>
      <c r="T79" s="22" t="s">
        <v>59</v>
      </c>
      <c r="U79" s="22" t="s">
        <v>60</v>
      </c>
      <c r="V79" s="22" t="s">
        <v>149</v>
      </c>
    </row>
    <row r="80" ht="15.75" customHeight="1">
      <c r="A80" s="23" t="str">
        <f t="shared" ref="A80:A107" si="10">IF($A18="","",$A18)</f>
        <v>Ahmed</v>
      </c>
      <c r="B80" s="15"/>
      <c r="C80" s="15"/>
      <c r="D80" s="15"/>
      <c r="E80" s="15"/>
      <c r="F80" s="15"/>
      <c r="G80" s="15"/>
      <c r="H80" s="15"/>
      <c r="I80" s="15"/>
      <c r="J80" s="15"/>
      <c r="K80" s="15"/>
      <c r="L80" s="15"/>
      <c r="M80" s="15"/>
      <c r="N80" s="15"/>
      <c r="O80" s="15"/>
      <c r="P80" s="15"/>
      <c r="Q80" s="15"/>
      <c r="R80" s="15"/>
      <c r="S80" s="15"/>
      <c r="T80" s="15"/>
      <c r="U80" s="15"/>
      <c r="V80" s="24">
        <f t="shared" ref="V80:V107" si="11">SUMPRODUCT(B80:U80*($B$16:$U$16=""))</f>
        <v>0</v>
      </c>
    </row>
    <row r="81" ht="15.75" customHeight="1">
      <c r="A81" s="23" t="str">
        <f t="shared" si="10"/>
        <v>Alex Ruben</v>
      </c>
      <c r="B81" s="15"/>
      <c r="C81" s="15"/>
      <c r="D81" s="15"/>
      <c r="E81" s="15"/>
      <c r="F81" s="15"/>
      <c r="G81" s="15"/>
      <c r="H81" s="15"/>
      <c r="I81" s="15"/>
      <c r="J81" s="15"/>
      <c r="K81" s="15"/>
      <c r="L81" s="15"/>
      <c r="M81" s="15"/>
      <c r="N81" s="15"/>
      <c r="O81" s="15"/>
      <c r="P81" s="15"/>
      <c r="Q81" s="15"/>
      <c r="R81" s="15"/>
      <c r="S81" s="15"/>
      <c r="T81" s="15"/>
      <c r="U81" s="15"/>
      <c r="V81" s="24">
        <f t="shared" si="11"/>
        <v>0</v>
      </c>
    </row>
    <row r="82" ht="15.75" customHeight="1">
      <c r="A82" s="23" t="str">
        <f t="shared" si="10"/>
        <v>Andy Cowan</v>
      </c>
      <c r="B82" s="15"/>
      <c r="C82" s="15"/>
      <c r="D82" s="15"/>
      <c r="E82" s="15"/>
      <c r="F82" s="15"/>
      <c r="G82" s="15"/>
      <c r="H82" s="15"/>
      <c r="I82" s="15"/>
      <c r="J82" s="15"/>
      <c r="K82" s="15"/>
      <c r="L82" s="15"/>
      <c r="M82" s="15"/>
      <c r="N82" s="15"/>
      <c r="O82" s="15"/>
      <c r="P82" s="15"/>
      <c r="Q82" s="15"/>
      <c r="R82" s="15"/>
      <c r="S82" s="15"/>
      <c r="T82" s="15"/>
      <c r="U82" s="15"/>
      <c r="V82" s="24">
        <f t="shared" si="11"/>
        <v>0</v>
      </c>
    </row>
    <row r="83" ht="15.75" customHeight="1">
      <c r="A83" s="23" t="str">
        <f t="shared" si="10"/>
        <v>Ben Merrett</v>
      </c>
      <c r="B83" s="15"/>
      <c r="C83" s="15"/>
      <c r="D83" s="15"/>
      <c r="E83" s="15"/>
      <c r="F83" s="15"/>
      <c r="G83" s="15"/>
      <c r="H83" s="15"/>
      <c r="I83" s="15"/>
      <c r="J83" s="15"/>
      <c r="K83" s="15"/>
      <c r="L83" s="15"/>
      <c r="M83" s="15"/>
      <c r="N83" s="15"/>
      <c r="O83" s="15"/>
      <c r="P83" s="15"/>
      <c r="Q83" s="15"/>
      <c r="R83" s="15"/>
      <c r="S83" s="15"/>
      <c r="T83" s="15"/>
      <c r="U83" s="15"/>
      <c r="V83" s="24">
        <f t="shared" si="11"/>
        <v>0</v>
      </c>
    </row>
    <row r="84" ht="15.75" customHeight="1">
      <c r="A84" s="23" t="str">
        <f t="shared" si="10"/>
        <v>Callum McCarthy</v>
      </c>
      <c r="B84" s="15"/>
      <c r="C84" s="15"/>
      <c r="D84" s="15"/>
      <c r="E84" s="15"/>
      <c r="F84" s="15"/>
      <c r="G84" s="15"/>
      <c r="H84" s="15"/>
      <c r="I84" s="15"/>
      <c r="J84" s="15"/>
      <c r="K84" s="15"/>
      <c r="L84" s="15"/>
      <c r="M84" s="15"/>
      <c r="N84" s="15"/>
      <c r="O84" s="15"/>
      <c r="P84" s="15"/>
      <c r="Q84" s="15"/>
      <c r="R84" s="15"/>
      <c r="S84" s="15"/>
      <c r="T84" s="15"/>
      <c r="U84" s="15"/>
      <c r="V84" s="24">
        <f t="shared" si="11"/>
        <v>0</v>
      </c>
    </row>
    <row r="85" ht="15.75" customHeight="1">
      <c r="A85" s="23" t="str">
        <f t="shared" si="10"/>
        <v>Cecil Watson</v>
      </c>
      <c r="B85" s="15"/>
      <c r="C85" s="15"/>
      <c r="D85" s="15"/>
      <c r="E85" s="15"/>
      <c r="F85" s="15"/>
      <c r="G85" s="15"/>
      <c r="H85" s="15"/>
      <c r="I85" s="15"/>
      <c r="J85" s="15"/>
      <c r="K85" s="15"/>
      <c r="L85" s="15"/>
      <c r="M85" s="15"/>
      <c r="N85" s="15"/>
      <c r="O85" s="15"/>
      <c r="P85" s="15"/>
      <c r="Q85" s="15"/>
      <c r="R85" s="15"/>
      <c r="S85" s="15"/>
      <c r="T85" s="15"/>
      <c r="U85" s="15"/>
      <c r="V85" s="24">
        <f t="shared" si="11"/>
        <v>0</v>
      </c>
    </row>
    <row r="86" ht="15.75" customHeight="1">
      <c r="A86" s="23" t="str">
        <f t="shared" si="10"/>
        <v>Conall Templeman</v>
      </c>
      <c r="B86" s="15"/>
      <c r="C86" s="15"/>
      <c r="D86" s="15"/>
      <c r="E86" s="15"/>
      <c r="F86" s="15"/>
      <c r="G86" s="15"/>
      <c r="H86" s="15"/>
      <c r="I86" s="15"/>
      <c r="J86" s="15"/>
      <c r="K86" s="15"/>
      <c r="L86" s="15"/>
      <c r="M86" s="15"/>
      <c r="N86" s="15"/>
      <c r="O86" s="15"/>
      <c r="P86" s="15"/>
      <c r="Q86" s="15"/>
      <c r="R86" s="15"/>
      <c r="S86" s="15"/>
      <c r="T86" s="15"/>
      <c r="U86" s="15"/>
      <c r="V86" s="24">
        <f t="shared" si="11"/>
        <v>0</v>
      </c>
    </row>
    <row r="87" ht="15.75" customHeight="1">
      <c r="A87" s="23" t="str">
        <f t="shared" si="10"/>
        <v>Eddie Ringer</v>
      </c>
      <c r="B87" s="15"/>
      <c r="C87" s="15"/>
      <c r="D87" s="15"/>
      <c r="E87" s="15"/>
      <c r="F87" s="15"/>
      <c r="G87" s="15"/>
      <c r="H87" s="15"/>
      <c r="I87" s="15"/>
      <c r="J87" s="15"/>
      <c r="K87" s="15"/>
      <c r="L87" s="15"/>
      <c r="M87" s="15"/>
      <c r="N87" s="15"/>
      <c r="O87" s="15"/>
      <c r="P87" s="15"/>
      <c r="Q87" s="15"/>
      <c r="R87" s="15"/>
      <c r="S87" s="15"/>
      <c r="T87" s="15"/>
      <c r="U87" s="15"/>
      <c r="V87" s="24">
        <f t="shared" si="11"/>
        <v>0</v>
      </c>
    </row>
    <row r="88" ht="15.75" customHeight="1">
      <c r="A88" s="23" t="str">
        <f t="shared" si="10"/>
        <v>Finn Cawley</v>
      </c>
      <c r="B88" s="15"/>
      <c r="C88" s="15"/>
      <c r="D88" s="15"/>
      <c r="E88" s="15"/>
      <c r="F88" s="15"/>
      <c r="G88" s="15"/>
      <c r="H88" s="15"/>
      <c r="I88" s="15"/>
      <c r="J88" s="15"/>
      <c r="K88" s="15"/>
      <c r="L88" s="15"/>
      <c r="M88" s="15"/>
      <c r="N88" s="15"/>
      <c r="O88" s="15"/>
      <c r="P88" s="15"/>
      <c r="Q88" s="15"/>
      <c r="R88" s="15"/>
      <c r="S88" s="15"/>
      <c r="T88" s="15"/>
      <c r="U88" s="15"/>
      <c r="V88" s="24">
        <f t="shared" si="11"/>
        <v>0</v>
      </c>
    </row>
    <row r="89" ht="15.75" customHeight="1">
      <c r="A89" s="23" t="str">
        <f t="shared" si="10"/>
        <v>George Barbantan</v>
      </c>
      <c r="B89" s="15"/>
      <c r="C89" s="15"/>
      <c r="D89" s="15"/>
      <c r="E89" s="15"/>
      <c r="F89" s="15"/>
      <c r="G89" s="15"/>
      <c r="H89" s="15"/>
      <c r="I89" s="15"/>
      <c r="J89" s="15"/>
      <c r="K89" s="15"/>
      <c r="L89" s="15"/>
      <c r="M89" s="15">
        <v>1.0</v>
      </c>
      <c r="N89" s="15"/>
      <c r="O89" s="15"/>
      <c r="P89" s="15"/>
      <c r="Q89" s="15"/>
      <c r="R89" s="15"/>
      <c r="S89" s="15"/>
      <c r="T89" s="15"/>
      <c r="U89" s="15"/>
      <c r="V89" s="24">
        <f t="shared" si="11"/>
        <v>1</v>
      </c>
    </row>
    <row r="90" ht="15.75" customHeight="1">
      <c r="A90" s="23" t="str">
        <f t="shared" si="10"/>
        <v>Henry Linklater</v>
      </c>
      <c r="B90" s="15"/>
      <c r="C90" s="15"/>
      <c r="D90" s="15"/>
      <c r="E90" s="15"/>
      <c r="F90" s="15"/>
      <c r="G90" s="15"/>
      <c r="H90" s="15"/>
      <c r="I90" s="15"/>
      <c r="J90" s="15"/>
      <c r="K90" s="15"/>
      <c r="L90" s="15"/>
      <c r="M90" s="15"/>
      <c r="N90" s="15"/>
      <c r="O90" s="15"/>
      <c r="P90" s="15"/>
      <c r="Q90" s="15"/>
      <c r="R90" s="15"/>
      <c r="S90" s="15"/>
      <c r="T90" s="15"/>
      <c r="U90" s="15"/>
      <c r="V90" s="24">
        <f t="shared" si="11"/>
        <v>0</v>
      </c>
    </row>
    <row r="91" ht="15.75" customHeight="1">
      <c r="A91" s="23" t="str">
        <f t="shared" si="10"/>
        <v>Isaac Mond</v>
      </c>
      <c r="B91" s="15"/>
      <c r="C91" s="15"/>
      <c r="D91" s="15"/>
      <c r="E91" s="15"/>
      <c r="F91" s="15"/>
      <c r="G91" s="15"/>
      <c r="H91" s="15"/>
      <c r="I91" s="15"/>
      <c r="J91" s="15"/>
      <c r="K91" s="15"/>
      <c r="L91" s="15"/>
      <c r="M91" s="15"/>
      <c r="N91" s="15"/>
      <c r="O91" s="15">
        <v>2.0</v>
      </c>
      <c r="P91" s="15"/>
      <c r="Q91" s="15"/>
      <c r="R91" s="15"/>
      <c r="S91" s="15"/>
      <c r="T91" s="15"/>
      <c r="U91" s="15"/>
      <c r="V91" s="24">
        <f t="shared" si="11"/>
        <v>2</v>
      </c>
    </row>
    <row r="92" ht="15.75" customHeight="1">
      <c r="A92" s="23" t="str">
        <f t="shared" si="10"/>
        <v>Jake Harrison</v>
      </c>
      <c r="B92" s="15"/>
      <c r="C92" s="15"/>
      <c r="D92" s="15"/>
      <c r="E92" s="15"/>
      <c r="F92" s="15"/>
      <c r="G92" s="15"/>
      <c r="H92" s="15"/>
      <c r="I92" s="15"/>
      <c r="J92" s="15"/>
      <c r="K92" s="15"/>
      <c r="L92" s="15"/>
      <c r="M92" s="15"/>
      <c r="N92" s="15"/>
      <c r="O92" s="15"/>
      <c r="P92" s="15"/>
      <c r="Q92" s="15"/>
      <c r="R92" s="15"/>
      <c r="S92" s="15"/>
      <c r="T92" s="15"/>
      <c r="U92" s="15"/>
      <c r="V92" s="24">
        <f t="shared" si="11"/>
        <v>0</v>
      </c>
    </row>
    <row r="93" ht="15.75" customHeight="1">
      <c r="A93" s="23" t="str">
        <f t="shared" si="10"/>
        <v>Jake Ringer</v>
      </c>
      <c r="B93" s="15"/>
      <c r="C93" s="15"/>
      <c r="D93" s="15"/>
      <c r="E93" s="15"/>
      <c r="F93" s="15"/>
      <c r="G93" s="15"/>
      <c r="H93" s="15"/>
      <c r="I93" s="15"/>
      <c r="J93" s="15"/>
      <c r="K93" s="15"/>
      <c r="L93" s="15"/>
      <c r="M93" s="15"/>
      <c r="N93" s="15">
        <v>1.0</v>
      </c>
      <c r="O93" s="15"/>
      <c r="P93" s="15"/>
      <c r="Q93" s="15"/>
      <c r="R93" s="15"/>
      <c r="S93" s="15"/>
      <c r="T93" s="15"/>
      <c r="U93" s="15"/>
      <c r="V93" s="24">
        <f t="shared" si="11"/>
        <v>1</v>
      </c>
    </row>
    <row r="94" ht="15.75" customHeight="1">
      <c r="A94" s="23" t="str">
        <f t="shared" si="10"/>
        <v>Keshav Singh</v>
      </c>
      <c r="B94" s="15"/>
      <c r="C94" s="15"/>
      <c r="D94" s="15"/>
      <c r="E94" s="15"/>
      <c r="F94" s="15"/>
      <c r="G94" s="15"/>
      <c r="H94" s="15"/>
      <c r="I94" s="15"/>
      <c r="J94" s="15"/>
      <c r="K94" s="15"/>
      <c r="L94" s="15"/>
      <c r="M94" s="15"/>
      <c r="N94" s="15"/>
      <c r="O94" s="15"/>
      <c r="P94" s="15"/>
      <c r="Q94" s="15"/>
      <c r="R94" s="15"/>
      <c r="S94" s="15"/>
      <c r="T94" s="15"/>
      <c r="U94" s="15"/>
      <c r="V94" s="24">
        <f t="shared" si="11"/>
        <v>0</v>
      </c>
    </row>
    <row r="95" ht="15.75" customHeight="1">
      <c r="A95" s="23" t="str">
        <f t="shared" si="10"/>
        <v>Mark Pellowe</v>
      </c>
      <c r="B95" s="15"/>
      <c r="C95" s="15"/>
      <c r="D95" s="15"/>
      <c r="E95" s="15"/>
      <c r="F95" s="15"/>
      <c r="G95" s="15"/>
      <c r="H95" s="15"/>
      <c r="I95" s="15"/>
      <c r="J95" s="15"/>
      <c r="K95" s="15"/>
      <c r="L95" s="15"/>
      <c r="M95" s="15"/>
      <c r="N95" s="15"/>
      <c r="O95" s="15"/>
      <c r="P95" s="15"/>
      <c r="Q95" s="15"/>
      <c r="R95" s="15"/>
      <c r="S95" s="15"/>
      <c r="T95" s="15"/>
      <c r="U95" s="15"/>
      <c r="V95" s="24">
        <f t="shared" si="11"/>
        <v>0</v>
      </c>
    </row>
    <row r="96" ht="15.75" customHeight="1">
      <c r="A96" s="23" t="str">
        <f t="shared" si="10"/>
        <v>Max Cobain</v>
      </c>
      <c r="B96" s="15"/>
      <c r="C96" s="15"/>
      <c r="D96" s="15"/>
      <c r="E96" s="15"/>
      <c r="F96" s="15"/>
      <c r="G96" s="15"/>
      <c r="H96" s="15"/>
      <c r="I96" s="15"/>
      <c r="J96" s="15"/>
      <c r="K96" s="15"/>
      <c r="L96" s="15"/>
      <c r="M96" s="15"/>
      <c r="N96" s="15"/>
      <c r="O96" s="15">
        <v>4.0</v>
      </c>
      <c r="P96" s="15"/>
      <c r="Q96" s="15"/>
      <c r="R96" s="15"/>
      <c r="S96" s="15"/>
      <c r="T96" s="15"/>
      <c r="U96" s="15"/>
      <c r="V96" s="24">
        <f t="shared" si="11"/>
        <v>4</v>
      </c>
    </row>
    <row r="97" ht="15.75" customHeight="1">
      <c r="A97" s="23" t="str">
        <f t="shared" si="10"/>
        <v>Neeraj Radia</v>
      </c>
      <c r="B97" s="15"/>
      <c r="C97" s="15"/>
      <c r="D97" s="15"/>
      <c r="E97" s="15"/>
      <c r="F97" s="15"/>
      <c r="G97" s="15"/>
      <c r="H97" s="15"/>
      <c r="I97" s="15"/>
      <c r="J97" s="15"/>
      <c r="K97" s="15"/>
      <c r="L97" s="15"/>
      <c r="M97" s="15"/>
      <c r="N97" s="15"/>
      <c r="O97" s="15">
        <v>1.0</v>
      </c>
      <c r="P97" s="15"/>
      <c r="Q97" s="15"/>
      <c r="R97" s="15"/>
      <c r="S97" s="15"/>
      <c r="T97" s="15"/>
      <c r="U97" s="15"/>
      <c r="V97" s="24">
        <f t="shared" si="11"/>
        <v>1</v>
      </c>
    </row>
    <row r="98" ht="15.75" customHeight="1">
      <c r="A98" s="23" t="str">
        <f t="shared" si="10"/>
        <v>Phil Knott</v>
      </c>
      <c r="B98" s="15"/>
      <c r="C98" s="15"/>
      <c r="D98" s="15"/>
      <c r="E98" s="15"/>
      <c r="F98" s="15"/>
      <c r="G98" s="15"/>
      <c r="H98" s="15"/>
      <c r="I98" s="15"/>
      <c r="J98" s="15"/>
      <c r="K98" s="15">
        <v>1.0</v>
      </c>
      <c r="L98" s="15"/>
      <c r="M98" s="15"/>
      <c r="N98" s="15"/>
      <c r="O98" s="15"/>
      <c r="P98" s="15"/>
      <c r="Q98" s="15"/>
      <c r="R98" s="15"/>
      <c r="S98" s="15"/>
      <c r="T98" s="15"/>
      <c r="U98" s="15"/>
      <c r="V98" s="24">
        <f t="shared" si="11"/>
        <v>1</v>
      </c>
    </row>
    <row r="99" ht="15.75" customHeight="1">
      <c r="A99" s="23" t="str">
        <f t="shared" si="10"/>
        <v>Robin</v>
      </c>
      <c r="B99" s="15"/>
      <c r="C99" s="15"/>
      <c r="D99" s="15"/>
      <c r="E99" s="15"/>
      <c r="F99" s="15"/>
      <c r="G99" s="15"/>
      <c r="H99" s="15"/>
      <c r="I99" s="15"/>
      <c r="J99" s="15"/>
      <c r="K99" s="15"/>
      <c r="L99" s="15"/>
      <c r="M99" s="15"/>
      <c r="N99" s="15"/>
      <c r="O99" s="15"/>
      <c r="P99" s="15"/>
      <c r="Q99" s="15"/>
      <c r="R99" s="15"/>
      <c r="S99" s="15"/>
      <c r="T99" s="15"/>
      <c r="U99" s="15"/>
      <c r="V99" s="24">
        <f t="shared" si="11"/>
        <v>0</v>
      </c>
    </row>
    <row r="100" ht="15.75" customHeight="1">
      <c r="A100" s="23" t="str">
        <f t="shared" si="10"/>
        <v>Sam Holt</v>
      </c>
      <c r="B100" s="15"/>
      <c r="C100" s="15"/>
      <c r="D100" s="15"/>
      <c r="E100" s="15"/>
      <c r="F100" s="15"/>
      <c r="G100" s="15"/>
      <c r="H100" s="15"/>
      <c r="I100" s="15"/>
      <c r="J100" s="15"/>
      <c r="K100" s="15"/>
      <c r="L100" s="15"/>
      <c r="M100" s="15"/>
      <c r="N100" s="15"/>
      <c r="O100" s="15">
        <v>1.0</v>
      </c>
      <c r="P100" s="15"/>
      <c r="Q100" s="15"/>
      <c r="R100" s="15"/>
      <c r="S100" s="15"/>
      <c r="T100" s="15"/>
      <c r="U100" s="15"/>
      <c r="V100" s="24">
        <f t="shared" si="11"/>
        <v>1</v>
      </c>
    </row>
    <row r="101" ht="15.75" customHeight="1">
      <c r="A101" s="23" t="str">
        <f t="shared" si="10"/>
        <v>Seb Burgess</v>
      </c>
      <c r="B101" s="15"/>
      <c r="C101" s="15"/>
      <c r="D101" s="15"/>
      <c r="E101" s="15"/>
      <c r="F101" s="15"/>
      <c r="G101" s="15"/>
      <c r="H101" s="15"/>
      <c r="I101" s="15"/>
      <c r="J101" s="15"/>
      <c r="K101" s="15"/>
      <c r="L101" s="15"/>
      <c r="M101" s="15"/>
      <c r="N101" s="15">
        <v>1.0</v>
      </c>
      <c r="O101" s="15"/>
      <c r="P101" s="15"/>
      <c r="Q101" s="15"/>
      <c r="R101" s="15"/>
      <c r="S101" s="15"/>
      <c r="T101" s="15"/>
      <c r="U101" s="15"/>
      <c r="V101" s="24">
        <f t="shared" si="11"/>
        <v>1</v>
      </c>
    </row>
    <row r="102" ht="15.75" customHeight="1">
      <c r="A102" s="23" t="str">
        <f t="shared" si="10"/>
        <v/>
      </c>
      <c r="B102" s="15"/>
      <c r="C102" s="15"/>
      <c r="D102" s="15"/>
      <c r="E102" s="15"/>
      <c r="F102" s="15"/>
      <c r="G102" s="15"/>
      <c r="H102" s="15"/>
      <c r="I102" s="15"/>
      <c r="J102" s="15"/>
      <c r="K102" s="15"/>
      <c r="L102" s="15"/>
      <c r="M102" s="15"/>
      <c r="N102" s="15"/>
      <c r="O102" s="15"/>
      <c r="P102" s="15"/>
      <c r="Q102" s="15"/>
      <c r="R102" s="15"/>
      <c r="S102" s="15"/>
      <c r="T102" s="15"/>
      <c r="U102" s="15"/>
      <c r="V102" s="24">
        <f t="shared" si="11"/>
        <v>0</v>
      </c>
    </row>
    <row r="103" ht="15.75" customHeight="1">
      <c r="A103" s="23" t="str">
        <f t="shared" si="10"/>
        <v/>
      </c>
      <c r="B103" s="15"/>
      <c r="C103" s="15"/>
      <c r="D103" s="15"/>
      <c r="E103" s="15"/>
      <c r="F103" s="15"/>
      <c r="G103" s="15"/>
      <c r="H103" s="15"/>
      <c r="I103" s="15"/>
      <c r="J103" s="15"/>
      <c r="K103" s="15"/>
      <c r="L103" s="15"/>
      <c r="M103" s="15"/>
      <c r="N103" s="15"/>
      <c r="O103" s="15"/>
      <c r="P103" s="15"/>
      <c r="Q103" s="15"/>
      <c r="R103" s="15"/>
      <c r="S103" s="15"/>
      <c r="T103" s="15"/>
      <c r="U103" s="15"/>
      <c r="V103" s="24">
        <f t="shared" si="11"/>
        <v>0</v>
      </c>
    </row>
    <row r="104" ht="15.75" customHeight="1">
      <c r="A104" s="23" t="str">
        <f t="shared" si="10"/>
        <v/>
      </c>
      <c r="B104" s="15"/>
      <c r="C104" s="15"/>
      <c r="D104" s="15"/>
      <c r="E104" s="15"/>
      <c r="F104" s="15"/>
      <c r="G104" s="15"/>
      <c r="H104" s="15"/>
      <c r="I104" s="15"/>
      <c r="J104" s="15"/>
      <c r="K104" s="15"/>
      <c r="L104" s="15"/>
      <c r="M104" s="15"/>
      <c r="N104" s="15"/>
      <c r="O104" s="15"/>
      <c r="P104" s="15"/>
      <c r="Q104" s="15"/>
      <c r="R104" s="15"/>
      <c r="S104" s="15"/>
      <c r="T104" s="15"/>
      <c r="U104" s="15"/>
      <c r="V104" s="24">
        <f t="shared" si="11"/>
        <v>0</v>
      </c>
    </row>
    <row r="105" ht="15.75" customHeight="1">
      <c r="A105" s="23" t="str">
        <f t="shared" si="10"/>
        <v/>
      </c>
      <c r="B105" s="15"/>
      <c r="C105" s="15"/>
      <c r="D105" s="15"/>
      <c r="E105" s="15"/>
      <c r="F105" s="15"/>
      <c r="G105" s="15"/>
      <c r="H105" s="15"/>
      <c r="I105" s="15"/>
      <c r="J105" s="15"/>
      <c r="K105" s="15"/>
      <c r="L105" s="15"/>
      <c r="M105" s="15"/>
      <c r="N105" s="15"/>
      <c r="O105" s="15"/>
      <c r="P105" s="15"/>
      <c r="Q105" s="15"/>
      <c r="R105" s="15"/>
      <c r="S105" s="15"/>
      <c r="T105" s="15"/>
      <c r="U105" s="15"/>
      <c r="V105" s="24">
        <f t="shared" si="11"/>
        <v>0</v>
      </c>
    </row>
    <row r="106" ht="15.75" customHeight="1">
      <c r="A106" s="23" t="str">
        <f t="shared" si="10"/>
        <v/>
      </c>
      <c r="B106" s="15"/>
      <c r="C106" s="15"/>
      <c r="D106" s="15"/>
      <c r="E106" s="15"/>
      <c r="F106" s="15"/>
      <c r="G106" s="15"/>
      <c r="H106" s="15"/>
      <c r="I106" s="15"/>
      <c r="J106" s="15"/>
      <c r="K106" s="15"/>
      <c r="L106" s="15"/>
      <c r="M106" s="15"/>
      <c r="N106" s="15"/>
      <c r="O106" s="15"/>
      <c r="P106" s="15"/>
      <c r="Q106" s="15"/>
      <c r="R106" s="15"/>
      <c r="S106" s="15"/>
      <c r="T106" s="15"/>
      <c r="U106" s="15"/>
      <c r="V106" s="24">
        <f t="shared" si="11"/>
        <v>0</v>
      </c>
    </row>
    <row r="107" ht="15.75" customHeight="1">
      <c r="A107" s="23" t="str">
        <f t="shared" si="10"/>
        <v/>
      </c>
      <c r="B107" s="15"/>
      <c r="C107" s="15"/>
      <c r="D107" s="15"/>
      <c r="E107" s="15"/>
      <c r="F107" s="15"/>
      <c r="G107" s="15"/>
      <c r="H107" s="15"/>
      <c r="I107" s="15"/>
      <c r="J107" s="15"/>
      <c r="K107" s="15"/>
      <c r="L107" s="15"/>
      <c r="M107" s="15"/>
      <c r="N107" s="15"/>
      <c r="O107" s="15"/>
      <c r="P107" s="15"/>
      <c r="Q107" s="15"/>
      <c r="R107" s="15"/>
      <c r="S107" s="15"/>
      <c r="T107" s="15"/>
      <c r="U107" s="15"/>
      <c r="V107" s="24">
        <f t="shared" si="11"/>
        <v>0</v>
      </c>
    </row>
    <row r="108" ht="15.75" customHeight="1">
      <c r="A108" s="7" t="s">
        <v>144</v>
      </c>
      <c r="V108" s="24">
        <f>SUM(V80:V107)</f>
        <v>12</v>
      </c>
    </row>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6.0"/>
    <col customWidth="1" min="2" max="25" width="12.0"/>
    <col customWidth="1" min="26" max="26" width="8.71"/>
  </cols>
  <sheetData>
    <row r="1">
      <c r="A1" s="4" t="s">
        <v>157</v>
      </c>
      <c r="B1" s="5"/>
      <c r="C1" s="5"/>
      <c r="D1" s="5"/>
      <c r="E1" s="5"/>
      <c r="F1" s="5"/>
      <c r="G1" s="5"/>
      <c r="H1" s="5"/>
      <c r="I1" s="5"/>
      <c r="J1" s="5"/>
      <c r="K1" s="5"/>
      <c r="L1" s="5"/>
      <c r="M1" s="5"/>
      <c r="N1" s="5"/>
      <c r="O1" s="5"/>
      <c r="P1" s="5"/>
      <c r="Q1" s="5"/>
      <c r="R1" s="5"/>
      <c r="S1" s="5"/>
      <c r="T1" s="5"/>
      <c r="U1" s="5"/>
      <c r="V1" s="5"/>
      <c r="W1" s="5"/>
      <c r="X1" s="5"/>
      <c r="Y1" s="5"/>
    </row>
    <row r="2">
      <c r="A2" s="6" t="s">
        <v>40</v>
      </c>
      <c r="B2" s="6" t="s">
        <v>41</v>
      </c>
      <c r="C2" s="6" t="s">
        <v>42</v>
      </c>
      <c r="D2" s="6" t="s">
        <v>43</v>
      </c>
      <c r="E2" s="6" t="s">
        <v>44</v>
      </c>
      <c r="F2" s="6" t="s">
        <v>45</v>
      </c>
      <c r="G2" s="6" t="s">
        <v>46</v>
      </c>
      <c r="H2" s="6" t="s">
        <v>47</v>
      </c>
      <c r="I2" s="6" t="s">
        <v>48</v>
      </c>
      <c r="J2" s="6" t="s">
        <v>49</v>
      </c>
      <c r="K2" s="6" t="s">
        <v>50</v>
      </c>
      <c r="L2" s="6" t="s">
        <v>51</v>
      </c>
      <c r="M2" s="6" t="s">
        <v>52</v>
      </c>
      <c r="N2" s="6" t="s">
        <v>53</v>
      </c>
      <c r="O2" s="6" t="s">
        <v>54</v>
      </c>
      <c r="P2" s="6" t="s">
        <v>55</v>
      </c>
      <c r="Q2" s="6" t="s">
        <v>56</v>
      </c>
      <c r="R2" s="6" t="s">
        <v>57</v>
      </c>
      <c r="S2" s="6" t="s">
        <v>58</v>
      </c>
      <c r="T2" s="6" t="s">
        <v>59</v>
      </c>
      <c r="U2" s="6" t="s">
        <v>60</v>
      </c>
      <c r="X2" s="7" t="s">
        <v>61</v>
      </c>
    </row>
    <row r="3">
      <c r="A3" s="8" t="s">
        <v>62</v>
      </c>
      <c r="B3" s="9">
        <v>46065.0</v>
      </c>
      <c r="C3" s="9">
        <v>46072.0</v>
      </c>
      <c r="D3" s="9">
        <v>46079.0</v>
      </c>
      <c r="E3" s="9">
        <v>46086.0</v>
      </c>
      <c r="F3" s="9">
        <v>46093.0</v>
      </c>
      <c r="G3" s="9">
        <v>46100.0</v>
      </c>
      <c r="H3" s="9">
        <v>46107.0</v>
      </c>
      <c r="I3" s="9">
        <v>46114.0</v>
      </c>
      <c r="J3" s="9">
        <v>46121.0</v>
      </c>
      <c r="K3" s="9">
        <v>46128.0</v>
      </c>
      <c r="L3" s="9">
        <v>46135.0</v>
      </c>
      <c r="M3" s="9">
        <v>46142.0</v>
      </c>
      <c r="N3" s="9">
        <v>46149.0</v>
      </c>
      <c r="O3" s="9">
        <v>46156.0</v>
      </c>
      <c r="P3" s="9"/>
      <c r="Q3" s="9"/>
      <c r="R3" s="9"/>
      <c r="S3" s="9"/>
      <c r="T3" s="9"/>
      <c r="U3" s="9"/>
      <c r="X3" s="7" t="s">
        <v>63</v>
      </c>
      <c r="Y3" s="10">
        <f>Y4+Y5+Y6</f>
        <v>14</v>
      </c>
    </row>
    <row r="4">
      <c r="A4" s="8" t="s">
        <v>64</v>
      </c>
      <c r="B4" s="11"/>
      <c r="C4" s="11"/>
      <c r="D4" s="11"/>
      <c r="E4" s="11"/>
      <c r="F4" s="11"/>
      <c r="G4" s="11"/>
      <c r="H4" s="11"/>
      <c r="I4" s="11"/>
      <c r="J4" s="11"/>
      <c r="K4" s="11"/>
      <c r="L4" s="11"/>
      <c r="M4" s="11"/>
      <c r="N4" s="11"/>
      <c r="O4" s="11"/>
      <c r="P4" s="11"/>
      <c r="Q4" s="11"/>
      <c r="R4" s="11"/>
      <c r="S4" s="11"/>
      <c r="T4" s="11"/>
      <c r="U4" s="11"/>
      <c r="X4" s="7" t="s">
        <v>65</v>
      </c>
      <c r="Y4" s="10">
        <f>SUMPRODUCT(($B$9:$U$9="W")*($B$16:$U$16=""))</f>
        <v>2</v>
      </c>
    </row>
    <row r="5" ht="27.75" customHeight="1">
      <c r="A5" s="8" t="s">
        <v>66</v>
      </c>
      <c r="B5" s="12" t="s">
        <v>159</v>
      </c>
      <c r="C5" s="12" t="s">
        <v>160</v>
      </c>
      <c r="D5" s="12" t="s">
        <v>161</v>
      </c>
      <c r="E5" s="12" t="s">
        <v>89</v>
      </c>
      <c r="F5" s="12" t="s">
        <v>162</v>
      </c>
      <c r="G5" s="12" t="s">
        <v>90</v>
      </c>
      <c r="H5" s="12" t="s">
        <v>163</v>
      </c>
      <c r="I5" s="12" t="s">
        <v>160</v>
      </c>
      <c r="J5" s="12" t="s">
        <v>164</v>
      </c>
      <c r="K5" s="12" t="s">
        <v>162</v>
      </c>
      <c r="L5" s="12" t="s">
        <v>90</v>
      </c>
      <c r="M5" s="12" t="s">
        <v>89</v>
      </c>
      <c r="N5" s="12" t="s">
        <v>88</v>
      </c>
      <c r="O5" s="12" t="s">
        <v>165</v>
      </c>
      <c r="P5" s="12"/>
      <c r="Q5" s="12"/>
      <c r="R5" s="12"/>
      <c r="S5" s="12"/>
      <c r="T5" s="12"/>
      <c r="U5" s="12"/>
      <c r="X5" s="7" t="s">
        <v>75</v>
      </c>
      <c r="Y5" s="10">
        <f>SUMPRODUCT(($B$9:$U$9="D")*($B$16:$U$16=""))</f>
        <v>2</v>
      </c>
    </row>
    <row r="6">
      <c r="A6" s="8" t="s">
        <v>79</v>
      </c>
      <c r="B6" s="13">
        <v>3.0</v>
      </c>
      <c r="C6" s="13">
        <v>8.0</v>
      </c>
      <c r="D6" s="13">
        <v>4.0</v>
      </c>
      <c r="E6" s="13">
        <v>3.0</v>
      </c>
      <c r="F6" s="13">
        <v>2.0</v>
      </c>
      <c r="G6" s="13">
        <v>0.0</v>
      </c>
      <c r="H6" s="13">
        <v>2.0</v>
      </c>
      <c r="I6" s="13">
        <v>4.0</v>
      </c>
      <c r="J6" s="13">
        <v>2.0</v>
      </c>
      <c r="K6" s="13">
        <v>6.0</v>
      </c>
      <c r="L6" s="13">
        <v>1.0</v>
      </c>
      <c r="M6" s="13">
        <v>3.0</v>
      </c>
      <c r="N6" s="13">
        <v>7.0</v>
      </c>
      <c r="O6" s="13">
        <v>2.0</v>
      </c>
      <c r="P6" s="13"/>
      <c r="Q6" s="13"/>
      <c r="R6" s="13"/>
      <c r="S6" s="13"/>
      <c r="T6" s="13"/>
      <c r="U6" s="13"/>
      <c r="X6" s="7" t="s">
        <v>80</v>
      </c>
      <c r="Y6" s="10">
        <f>SUMPRODUCT(($B$9:$U$9="L")*($B$16:$U$16=""))</f>
        <v>10</v>
      </c>
    </row>
    <row r="7">
      <c r="A7" s="8" t="s">
        <v>81</v>
      </c>
      <c r="B7" s="13">
        <v>11.0</v>
      </c>
      <c r="C7" s="13">
        <v>2.0</v>
      </c>
      <c r="D7" s="13">
        <v>7.0</v>
      </c>
      <c r="E7" s="13">
        <v>3.0</v>
      </c>
      <c r="F7" s="13">
        <v>8.0</v>
      </c>
      <c r="G7" s="13">
        <v>6.0</v>
      </c>
      <c r="H7" s="13">
        <v>11.0</v>
      </c>
      <c r="I7" s="13">
        <v>6.0</v>
      </c>
      <c r="J7" s="13">
        <v>2.0</v>
      </c>
      <c r="K7" s="13">
        <v>4.0</v>
      </c>
      <c r="L7" s="13">
        <v>11.0</v>
      </c>
      <c r="M7" s="13">
        <v>7.0</v>
      </c>
      <c r="N7" s="13">
        <v>16.0</v>
      </c>
      <c r="O7" s="13">
        <v>7.0</v>
      </c>
      <c r="P7" s="13"/>
      <c r="Q7" s="13"/>
      <c r="R7" s="13"/>
      <c r="S7" s="13"/>
      <c r="T7" s="13"/>
      <c r="U7" s="13"/>
      <c r="X7" s="7" t="s">
        <v>82</v>
      </c>
      <c r="Y7" s="10">
        <f>SUMPRODUCT($B$6:$U$6*($B$16:$U$16=""))</f>
        <v>47</v>
      </c>
    </row>
    <row r="8">
      <c r="A8" s="8" t="s">
        <v>83</v>
      </c>
      <c r="B8" s="14" t="str">
        <f t="shared" ref="B8:U8" si="1">IF(COUNT(B6:B7)&lt;2,"",B6&amp;"-"&amp;B7)</f>
        <v>3-11</v>
      </c>
      <c r="C8" s="14" t="str">
        <f t="shared" si="1"/>
        <v>8-2</v>
      </c>
      <c r="D8" s="14" t="str">
        <f t="shared" si="1"/>
        <v>4-7</v>
      </c>
      <c r="E8" s="14" t="str">
        <f t="shared" si="1"/>
        <v>3-3</v>
      </c>
      <c r="F8" s="14" t="str">
        <f t="shared" si="1"/>
        <v>2-8</v>
      </c>
      <c r="G8" s="14" t="str">
        <f t="shared" si="1"/>
        <v>0-6</v>
      </c>
      <c r="H8" s="14" t="str">
        <f t="shared" si="1"/>
        <v>2-11</v>
      </c>
      <c r="I8" s="14" t="str">
        <f t="shared" si="1"/>
        <v>4-6</v>
      </c>
      <c r="J8" s="14" t="str">
        <f t="shared" si="1"/>
        <v>2-2</v>
      </c>
      <c r="K8" s="14" t="str">
        <f t="shared" si="1"/>
        <v>6-4</v>
      </c>
      <c r="L8" s="14" t="str">
        <f t="shared" si="1"/>
        <v>1-11</v>
      </c>
      <c r="M8" s="14" t="str">
        <f t="shared" si="1"/>
        <v>3-7</v>
      </c>
      <c r="N8" s="14" t="str">
        <f t="shared" si="1"/>
        <v>7-16</v>
      </c>
      <c r="O8" s="14" t="str">
        <f t="shared" si="1"/>
        <v>2-7</v>
      </c>
      <c r="P8" s="14" t="str">
        <f t="shared" si="1"/>
        <v/>
      </c>
      <c r="Q8" s="14" t="str">
        <f t="shared" si="1"/>
        <v/>
      </c>
      <c r="R8" s="14" t="str">
        <f t="shared" si="1"/>
        <v/>
      </c>
      <c r="S8" s="14" t="str">
        <f t="shared" si="1"/>
        <v/>
      </c>
      <c r="T8" s="14" t="str">
        <f t="shared" si="1"/>
        <v/>
      </c>
      <c r="U8" s="14" t="str">
        <f t="shared" si="1"/>
        <v/>
      </c>
      <c r="X8" s="7" t="s">
        <v>94</v>
      </c>
      <c r="Y8" s="10">
        <f>SUMPRODUCT($B$7:$U$7*($B$16:$U$16=""))</f>
        <v>101</v>
      </c>
    </row>
    <row r="9">
      <c r="A9" s="8" t="s">
        <v>95</v>
      </c>
      <c r="B9" s="14" t="str">
        <f t="shared" ref="B9:U9" si="2">IF(COUNT(B6:B7)&lt;2,"",IF(B6&gt;B7,"W",IF(B6&lt;B7,"L","D")))</f>
        <v>L</v>
      </c>
      <c r="C9" s="14" t="str">
        <f t="shared" si="2"/>
        <v>W</v>
      </c>
      <c r="D9" s="14" t="str">
        <f t="shared" si="2"/>
        <v>L</v>
      </c>
      <c r="E9" s="14" t="str">
        <f t="shared" si="2"/>
        <v>D</v>
      </c>
      <c r="F9" s="14" t="str">
        <f t="shared" si="2"/>
        <v>L</v>
      </c>
      <c r="G9" s="14" t="str">
        <f t="shared" si="2"/>
        <v>L</v>
      </c>
      <c r="H9" s="14" t="str">
        <f t="shared" si="2"/>
        <v>L</v>
      </c>
      <c r="I9" s="14" t="str">
        <f t="shared" si="2"/>
        <v>L</v>
      </c>
      <c r="J9" s="14" t="str">
        <f t="shared" si="2"/>
        <v>D</v>
      </c>
      <c r="K9" s="14" t="str">
        <f t="shared" si="2"/>
        <v>W</v>
      </c>
      <c r="L9" s="14" t="str">
        <f t="shared" si="2"/>
        <v>L</v>
      </c>
      <c r="M9" s="14" t="str">
        <f t="shared" si="2"/>
        <v>L</v>
      </c>
      <c r="N9" s="14" t="str">
        <f t="shared" si="2"/>
        <v>L</v>
      </c>
      <c r="O9" s="14" t="str">
        <f t="shared" si="2"/>
        <v>L</v>
      </c>
      <c r="P9" s="14" t="str">
        <f t="shared" si="2"/>
        <v/>
      </c>
      <c r="Q9" s="14" t="str">
        <f t="shared" si="2"/>
        <v/>
      </c>
      <c r="R9" s="14" t="str">
        <f t="shared" si="2"/>
        <v/>
      </c>
      <c r="S9" s="14" t="str">
        <f t="shared" si="2"/>
        <v/>
      </c>
      <c r="T9" s="14" t="str">
        <f t="shared" si="2"/>
        <v/>
      </c>
      <c r="U9" s="14" t="str">
        <f t="shared" si="2"/>
        <v/>
      </c>
      <c r="X9" s="7" t="s">
        <v>96</v>
      </c>
      <c r="Y9" s="10" t="str">
        <f t="array" ref="Y9">IF(MAX($V$49:$V$76)=0,"—",INDEX($A$49:$A$76,MATCH(MAX($V$49:$V$76),$V$49:$V$76,0))&amp;" ("&amp;MAX($V$49:$V$76)&amp;")")</f>
        <v>Seb Burgess (15)</v>
      </c>
    </row>
    <row r="10">
      <c r="A10" s="8" t="s">
        <v>97</v>
      </c>
      <c r="B10" s="15"/>
      <c r="C10" s="15" t="s">
        <v>102</v>
      </c>
      <c r="D10" s="15"/>
      <c r="E10" s="15"/>
      <c r="F10" s="15"/>
      <c r="G10" s="15"/>
      <c r="H10" s="15"/>
      <c r="I10" s="15"/>
      <c r="J10" s="15"/>
      <c r="K10" s="15"/>
      <c r="L10" s="15"/>
      <c r="M10" s="15"/>
      <c r="N10" s="15"/>
      <c r="O10" s="15"/>
      <c r="P10" s="15"/>
      <c r="Q10" s="15"/>
      <c r="R10" s="15"/>
      <c r="S10" s="15"/>
      <c r="T10" s="15"/>
      <c r="U10" s="15"/>
      <c r="X10" s="7" t="s">
        <v>106</v>
      </c>
      <c r="Y10" s="10" t="str">
        <f t="array" ref="Y10">IF(MAX($V$18:$V$45)=0,"—",INDEX($A$18:$A$45,MATCH(MAX($V$18:$V$45),$V$18:$V$45,0))&amp;" ("&amp;MAX($V$18:$V$45)&amp;")")</f>
        <v>Seb Burgess (13)</v>
      </c>
    </row>
    <row r="11">
      <c r="A11" s="8" t="s">
        <v>107</v>
      </c>
      <c r="B11" s="15"/>
      <c r="C11" s="15"/>
      <c r="D11" s="15"/>
      <c r="E11" s="15"/>
      <c r="F11" s="15"/>
      <c r="G11" s="15"/>
      <c r="H11" s="15"/>
      <c r="I11" s="15"/>
      <c r="J11" s="15"/>
      <c r="K11" s="15"/>
      <c r="L11" s="15"/>
      <c r="M11" s="15"/>
      <c r="N11" s="15"/>
      <c r="O11" s="15"/>
      <c r="P11" s="15"/>
      <c r="Q11" s="15"/>
      <c r="R11" s="15"/>
      <c r="S11" s="15"/>
      <c r="T11" s="15"/>
      <c r="U11" s="15"/>
      <c r="X11" s="7" t="s">
        <v>108</v>
      </c>
      <c r="Y11" s="16">
        <f>SUM($B$13:$U$13)</f>
        <v>0</v>
      </c>
    </row>
    <row r="12" ht="25.5" customHeight="1">
      <c r="A12" s="8" t="s">
        <v>112</v>
      </c>
      <c r="B12" s="17"/>
      <c r="C12" s="17"/>
      <c r="D12" s="17"/>
      <c r="E12" s="17"/>
      <c r="F12" s="17"/>
      <c r="G12" s="17"/>
      <c r="H12" s="17"/>
      <c r="I12" s="17"/>
      <c r="J12" s="17"/>
      <c r="K12" s="17"/>
      <c r="L12" s="17"/>
      <c r="M12" s="17"/>
      <c r="N12" s="17"/>
      <c r="O12" s="17"/>
      <c r="P12" s="17"/>
      <c r="Q12" s="17"/>
      <c r="R12" s="17"/>
      <c r="S12" s="17"/>
      <c r="T12" s="17"/>
      <c r="U12" s="17"/>
      <c r="X12" s="7" t="s">
        <v>119</v>
      </c>
      <c r="Y12" s="18"/>
    </row>
    <row r="13">
      <c r="A13" s="8" t="s">
        <v>123</v>
      </c>
      <c r="B13" s="19"/>
      <c r="C13" s="19"/>
      <c r="D13" s="19"/>
      <c r="E13" s="19"/>
      <c r="F13" s="19"/>
      <c r="G13" s="19"/>
      <c r="H13" s="19"/>
      <c r="I13" s="19"/>
      <c r="J13" s="19"/>
      <c r="K13" s="19"/>
      <c r="L13" s="19"/>
      <c r="M13" s="19"/>
      <c r="N13" s="19"/>
      <c r="O13" s="19"/>
      <c r="P13" s="19"/>
      <c r="Q13" s="19"/>
      <c r="R13" s="19"/>
      <c r="S13" s="19"/>
      <c r="T13" s="19"/>
      <c r="U13" s="19"/>
    </row>
    <row r="14">
      <c r="A14" s="8" t="s">
        <v>126</v>
      </c>
      <c r="B14" s="14">
        <f t="shared" ref="B14:U14" si="3">COUNT(B$18:B$45)</f>
        <v>3</v>
      </c>
      <c r="C14" s="14">
        <f t="shared" si="3"/>
        <v>5</v>
      </c>
      <c r="D14" s="14">
        <f t="shared" si="3"/>
        <v>4</v>
      </c>
      <c r="E14" s="14">
        <f t="shared" si="3"/>
        <v>7</v>
      </c>
      <c r="F14" s="14">
        <f t="shared" si="3"/>
        <v>7</v>
      </c>
      <c r="G14" s="14">
        <f t="shared" si="3"/>
        <v>6</v>
      </c>
      <c r="H14" s="14">
        <f t="shared" si="3"/>
        <v>7</v>
      </c>
      <c r="I14" s="14">
        <f t="shared" si="3"/>
        <v>7</v>
      </c>
      <c r="J14" s="14">
        <f t="shared" si="3"/>
        <v>7</v>
      </c>
      <c r="K14" s="14">
        <f t="shared" si="3"/>
        <v>7</v>
      </c>
      <c r="L14" s="14">
        <f t="shared" si="3"/>
        <v>5</v>
      </c>
      <c r="M14" s="14">
        <f t="shared" si="3"/>
        <v>7</v>
      </c>
      <c r="N14" s="14">
        <f t="shared" si="3"/>
        <v>7</v>
      </c>
      <c r="O14" s="14">
        <f t="shared" si="3"/>
        <v>7</v>
      </c>
      <c r="P14" s="14">
        <f t="shared" si="3"/>
        <v>0</v>
      </c>
      <c r="Q14" s="14">
        <f t="shared" si="3"/>
        <v>0</v>
      </c>
      <c r="R14" s="14">
        <f t="shared" si="3"/>
        <v>0</v>
      </c>
      <c r="S14" s="14">
        <f t="shared" si="3"/>
        <v>0</v>
      </c>
      <c r="T14" s="14">
        <f t="shared" si="3"/>
        <v>0</v>
      </c>
      <c r="U14" s="14">
        <f t="shared" si="3"/>
        <v>0</v>
      </c>
    </row>
    <row r="15">
      <c r="A15" s="8" t="s">
        <v>127</v>
      </c>
      <c r="B15" s="20">
        <f t="shared" ref="B15:U15" si="4">IF(B$14=0,0,N(B$13)/B$14)</f>
        <v>0</v>
      </c>
      <c r="C15" s="20">
        <f t="shared" si="4"/>
        <v>0</v>
      </c>
      <c r="D15" s="20">
        <f t="shared" si="4"/>
        <v>0</v>
      </c>
      <c r="E15" s="20">
        <f t="shared" si="4"/>
        <v>0</v>
      </c>
      <c r="F15" s="20">
        <f t="shared" si="4"/>
        <v>0</v>
      </c>
      <c r="G15" s="20">
        <f t="shared" si="4"/>
        <v>0</v>
      </c>
      <c r="H15" s="20">
        <f t="shared" si="4"/>
        <v>0</v>
      </c>
      <c r="I15" s="20">
        <f t="shared" si="4"/>
        <v>0</v>
      </c>
      <c r="J15" s="20">
        <f t="shared" si="4"/>
        <v>0</v>
      </c>
      <c r="K15" s="20">
        <f t="shared" si="4"/>
        <v>0</v>
      </c>
      <c r="L15" s="20">
        <f t="shared" si="4"/>
        <v>0</v>
      </c>
      <c r="M15" s="20">
        <f t="shared" si="4"/>
        <v>0</v>
      </c>
      <c r="N15" s="20">
        <f t="shared" si="4"/>
        <v>0</v>
      </c>
      <c r="O15" s="20">
        <f t="shared" si="4"/>
        <v>0</v>
      </c>
      <c r="P15" s="20">
        <f t="shared" si="4"/>
        <v>0</v>
      </c>
      <c r="Q15" s="20">
        <f t="shared" si="4"/>
        <v>0</v>
      </c>
      <c r="R15" s="20">
        <f t="shared" si="4"/>
        <v>0</v>
      </c>
      <c r="S15" s="20">
        <f t="shared" si="4"/>
        <v>0</v>
      </c>
      <c r="T15" s="20">
        <f t="shared" si="4"/>
        <v>0</v>
      </c>
      <c r="U15" s="20">
        <f t="shared" si="4"/>
        <v>0</v>
      </c>
    </row>
    <row r="16">
      <c r="A16" s="8" t="s">
        <v>128</v>
      </c>
      <c r="B16" s="13"/>
      <c r="C16" s="13"/>
      <c r="D16" s="13"/>
      <c r="E16" s="13"/>
      <c r="F16" s="13"/>
      <c r="G16" s="13"/>
      <c r="H16" s="13"/>
      <c r="I16" s="13"/>
      <c r="J16" s="13"/>
      <c r="K16" s="13"/>
      <c r="L16" s="13"/>
      <c r="M16" s="13"/>
      <c r="N16" s="13"/>
      <c r="O16" s="13"/>
      <c r="P16" s="13"/>
      <c r="Q16" s="13"/>
      <c r="R16" s="13"/>
      <c r="S16" s="13"/>
      <c r="T16" s="13"/>
      <c r="U16" s="13"/>
    </row>
    <row r="17">
      <c r="A17" s="21" t="s">
        <v>129</v>
      </c>
      <c r="B17" s="22" t="s">
        <v>41</v>
      </c>
      <c r="C17" s="22" t="s">
        <v>42</v>
      </c>
      <c r="D17" s="22" t="s">
        <v>43</v>
      </c>
      <c r="E17" s="22" t="s">
        <v>44</v>
      </c>
      <c r="F17" s="22" t="s">
        <v>45</v>
      </c>
      <c r="G17" s="22" t="s">
        <v>46</v>
      </c>
      <c r="H17" s="22" t="s">
        <v>47</v>
      </c>
      <c r="I17" s="22" t="s">
        <v>48</v>
      </c>
      <c r="J17" s="22" t="s">
        <v>49</v>
      </c>
      <c r="K17" s="22" t="s">
        <v>50</v>
      </c>
      <c r="L17" s="22" t="s">
        <v>51</v>
      </c>
      <c r="M17" s="22" t="s">
        <v>52</v>
      </c>
      <c r="N17" s="22" t="s">
        <v>53</v>
      </c>
      <c r="O17" s="22" t="s">
        <v>54</v>
      </c>
      <c r="P17" s="22" t="s">
        <v>55</v>
      </c>
      <c r="Q17" s="22" t="s">
        <v>56</v>
      </c>
      <c r="R17" s="22" t="s">
        <v>57</v>
      </c>
      <c r="S17" s="22" t="s">
        <v>58</v>
      </c>
      <c r="T17" s="22" t="s">
        <v>59</v>
      </c>
      <c r="U17" s="22" t="s">
        <v>60</v>
      </c>
      <c r="V17" s="22" t="s">
        <v>130</v>
      </c>
      <c r="W17" s="22" t="s">
        <v>131</v>
      </c>
    </row>
    <row r="18">
      <c r="A18" s="23" t="s">
        <v>132</v>
      </c>
      <c r="B18" s="15"/>
      <c r="C18" s="15"/>
      <c r="D18" s="15"/>
      <c r="E18" s="15"/>
      <c r="F18" s="15"/>
      <c r="G18" s="15"/>
      <c r="H18" s="15"/>
      <c r="I18" s="15"/>
      <c r="J18" s="15"/>
      <c r="K18" s="15"/>
      <c r="L18" s="15"/>
      <c r="M18" s="15"/>
      <c r="N18" s="15"/>
      <c r="O18" s="15"/>
      <c r="P18" s="15"/>
      <c r="Q18" s="15"/>
      <c r="R18" s="15"/>
      <c r="S18" s="15"/>
      <c r="T18" s="15"/>
      <c r="U18" s="15"/>
      <c r="V18" s="24">
        <f t="shared" ref="V18:V45" si="5">SUMPRODUCT(B18:U18*($B$16:$U$16=""))</f>
        <v>0</v>
      </c>
      <c r="W18" s="20">
        <f t="shared" ref="W18:W45" si="6">SUMPRODUCT($B18:$U18,$B$15:$U$15)</f>
        <v>0</v>
      </c>
    </row>
    <row r="19">
      <c r="A19" s="23" t="s">
        <v>133</v>
      </c>
      <c r="B19" s="15"/>
      <c r="C19" s="15"/>
      <c r="D19" s="15"/>
      <c r="E19" s="15"/>
      <c r="F19" s="15"/>
      <c r="G19" s="15"/>
      <c r="H19" s="15"/>
      <c r="I19" s="15"/>
      <c r="J19" s="15"/>
      <c r="K19" s="15"/>
      <c r="L19" s="15"/>
      <c r="M19" s="15"/>
      <c r="N19" s="15"/>
      <c r="O19" s="15"/>
      <c r="P19" s="15"/>
      <c r="Q19" s="15"/>
      <c r="R19" s="15"/>
      <c r="S19" s="15"/>
      <c r="T19" s="15"/>
      <c r="U19" s="15"/>
      <c r="V19" s="24">
        <f t="shared" si="5"/>
        <v>0</v>
      </c>
      <c r="W19" s="20">
        <f t="shared" si="6"/>
        <v>0</v>
      </c>
    </row>
    <row r="20">
      <c r="A20" s="23" t="s">
        <v>103</v>
      </c>
      <c r="B20" s="15"/>
      <c r="C20" s="15"/>
      <c r="D20" s="15"/>
      <c r="E20" s="15"/>
      <c r="F20" s="15"/>
      <c r="G20" s="15"/>
      <c r="H20" s="15"/>
      <c r="I20" s="15"/>
      <c r="J20" s="15"/>
      <c r="K20" s="15"/>
      <c r="L20" s="15"/>
      <c r="M20" s="15"/>
      <c r="N20" s="15"/>
      <c r="O20" s="15"/>
      <c r="P20" s="15"/>
      <c r="Q20" s="15"/>
      <c r="R20" s="15"/>
      <c r="S20" s="15"/>
      <c r="T20" s="15"/>
      <c r="U20" s="15"/>
      <c r="V20" s="24">
        <f t="shared" si="5"/>
        <v>0</v>
      </c>
      <c r="W20" s="20">
        <f t="shared" si="6"/>
        <v>0</v>
      </c>
    </row>
    <row r="21" ht="15.75" customHeight="1">
      <c r="A21" s="23" t="s">
        <v>110</v>
      </c>
      <c r="B21" s="15"/>
      <c r="C21" s="15"/>
      <c r="D21" s="15"/>
      <c r="E21" s="15"/>
      <c r="F21" s="15">
        <v>1.0</v>
      </c>
      <c r="G21" s="15"/>
      <c r="H21" s="15">
        <v>1.0</v>
      </c>
      <c r="I21" s="15">
        <v>1.0</v>
      </c>
      <c r="J21" s="15"/>
      <c r="K21" s="15">
        <v>1.0</v>
      </c>
      <c r="L21" s="15"/>
      <c r="M21" s="15">
        <v>1.0</v>
      </c>
      <c r="N21" s="15">
        <v>1.0</v>
      </c>
      <c r="O21" s="15"/>
      <c r="P21" s="15"/>
      <c r="Q21" s="15"/>
      <c r="R21" s="15"/>
      <c r="S21" s="15"/>
      <c r="T21" s="15"/>
      <c r="U21" s="15"/>
      <c r="V21" s="24">
        <f t="shared" si="5"/>
        <v>6</v>
      </c>
      <c r="W21" s="20">
        <f t="shared" si="6"/>
        <v>0</v>
      </c>
    </row>
    <row r="22" ht="15.75" customHeight="1">
      <c r="A22" s="23" t="s">
        <v>100</v>
      </c>
      <c r="B22" s="15"/>
      <c r="C22" s="15"/>
      <c r="D22" s="15"/>
      <c r="E22" s="15"/>
      <c r="F22" s="15"/>
      <c r="G22" s="15"/>
      <c r="H22" s="15"/>
      <c r="I22" s="15"/>
      <c r="J22" s="15"/>
      <c r="K22" s="15"/>
      <c r="L22" s="15"/>
      <c r="M22" s="15"/>
      <c r="N22" s="15"/>
      <c r="O22" s="15"/>
      <c r="P22" s="15"/>
      <c r="Q22" s="15"/>
      <c r="R22" s="15"/>
      <c r="S22" s="15"/>
      <c r="T22" s="15"/>
      <c r="U22" s="15"/>
      <c r="V22" s="24">
        <f t="shared" si="5"/>
        <v>0</v>
      </c>
      <c r="W22" s="20">
        <f t="shared" si="6"/>
        <v>0</v>
      </c>
    </row>
    <row r="23" ht="15.75" customHeight="1">
      <c r="A23" s="23" t="s">
        <v>134</v>
      </c>
      <c r="B23" s="15"/>
      <c r="C23" s="15"/>
      <c r="D23" s="15"/>
      <c r="E23" s="15"/>
      <c r="F23" s="15"/>
      <c r="G23" s="15"/>
      <c r="H23" s="15"/>
      <c r="I23" s="15"/>
      <c r="J23" s="15"/>
      <c r="K23" s="15"/>
      <c r="L23" s="15"/>
      <c r="M23" s="15"/>
      <c r="N23" s="15"/>
      <c r="O23" s="15"/>
      <c r="P23" s="15"/>
      <c r="Q23" s="15"/>
      <c r="R23" s="15"/>
      <c r="S23" s="15"/>
      <c r="T23" s="15"/>
      <c r="U23" s="15"/>
      <c r="V23" s="24">
        <f t="shared" si="5"/>
        <v>0</v>
      </c>
      <c r="W23" s="20">
        <f t="shared" si="6"/>
        <v>0</v>
      </c>
    </row>
    <row r="24" ht="15.75" customHeight="1">
      <c r="A24" s="23" t="s">
        <v>135</v>
      </c>
      <c r="B24" s="15"/>
      <c r="C24" s="15"/>
      <c r="D24" s="15"/>
      <c r="E24" s="15"/>
      <c r="F24" s="15"/>
      <c r="G24" s="15"/>
      <c r="H24" s="15"/>
      <c r="I24" s="15"/>
      <c r="J24" s="15"/>
      <c r="K24" s="15"/>
      <c r="L24" s="15">
        <v>1.0</v>
      </c>
      <c r="M24" s="15">
        <v>1.0</v>
      </c>
      <c r="N24" s="15">
        <v>1.0</v>
      </c>
      <c r="O24" s="15"/>
      <c r="P24" s="15"/>
      <c r="Q24" s="15"/>
      <c r="R24" s="15"/>
      <c r="S24" s="15"/>
      <c r="T24" s="15"/>
      <c r="U24" s="15"/>
      <c r="V24" s="24">
        <f t="shared" si="5"/>
        <v>3</v>
      </c>
      <c r="W24" s="20">
        <f t="shared" si="6"/>
        <v>0</v>
      </c>
    </row>
    <row r="25" ht="15.75" customHeight="1">
      <c r="A25" s="23" t="s">
        <v>136</v>
      </c>
      <c r="B25" s="15"/>
      <c r="C25" s="15">
        <v>1.0</v>
      </c>
      <c r="D25" s="15"/>
      <c r="E25" s="15"/>
      <c r="F25" s="15"/>
      <c r="G25" s="15"/>
      <c r="H25" s="15"/>
      <c r="I25" s="15"/>
      <c r="J25" s="15"/>
      <c r="K25" s="15"/>
      <c r="L25" s="15"/>
      <c r="M25" s="15"/>
      <c r="N25" s="15"/>
      <c r="O25" s="15"/>
      <c r="P25" s="15"/>
      <c r="Q25" s="15"/>
      <c r="R25" s="15"/>
      <c r="S25" s="15"/>
      <c r="T25" s="15"/>
      <c r="U25" s="15"/>
      <c r="V25" s="24">
        <f t="shared" si="5"/>
        <v>1</v>
      </c>
      <c r="W25" s="20">
        <f t="shared" si="6"/>
        <v>0</v>
      </c>
    </row>
    <row r="26" ht="15.75" customHeight="1">
      <c r="A26" s="23" t="s">
        <v>104</v>
      </c>
      <c r="B26" s="15">
        <v>1.0</v>
      </c>
      <c r="C26" s="15"/>
      <c r="D26" s="15"/>
      <c r="E26" s="15"/>
      <c r="F26" s="15"/>
      <c r="G26" s="15"/>
      <c r="H26" s="15">
        <v>1.0</v>
      </c>
      <c r="I26" s="15"/>
      <c r="J26" s="15"/>
      <c r="K26" s="15"/>
      <c r="L26" s="15"/>
      <c r="M26" s="15">
        <v>1.0</v>
      </c>
      <c r="N26" s="15"/>
      <c r="O26" s="15"/>
      <c r="P26" s="15"/>
      <c r="Q26" s="15"/>
      <c r="R26" s="15"/>
      <c r="S26" s="15"/>
      <c r="T26" s="15"/>
      <c r="U26" s="15"/>
      <c r="V26" s="24">
        <f t="shared" si="5"/>
        <v>3</v>
      </c>
      <c r="W26" s="20">
        <f t="shared" si="6"/>
        <v>0</v>
      </c>
    </row>
    <row r="27" ht="15.75" customHeight="1">
      <c r="A27" s="23" t="s">
        <v>137</v>
      </c>
      <c r="B27" s="15"/>
      <c r="C27" s="15"/>
      <c r="D27" s="15"/>
      <c r="E27" s="15"/>
      <c r="F27" s="15"/>
      <c r="G27" s="15"/>
      <c r="H27" s="15"/>
      <c r="I27" s="15"/>
      <c r="J27" s="15"/>
      <c r="K27" s="15"/>
      <c r="L27" s="15"/>
      <c r="M27" s="15"/>
      <c r="N27" s="15"/>
      <c r="O27" s="15"/>
      <c r="P27" s="15"/>
      <c r="Q27" s="15"/>
      <c r="R27" s="15"/>
      <c r="S27" s="15"/>
      <c r="T27" s="15"/>
      <c r="U27" s="15"/>
      <c r="V27" s="24">
        <f t="shared" si="5"/>
        <v>0</v>
      </c>
      <c r="W27" s="20">
        <f t="shared" si="6"/>
        <v>0</v>
      </c>
    </row>
    <row r="28" ht="15.75" customHeight="1">
      <c r="A28" s="23" t="s">
        <v>101</v>
      </c>
      <c r="B28" s="15"/>
      <c r="C28" s="15"/>
      <c r="D28" s="15"/>
      <c r="E28" s="15"/>
      <c r="F28" s="15"/>
      <c r="G28" s="15"/>
      <c r="H28" s="15"/>
      <c r="I28" s="15"/>
      <c r="J28" s="15"/>
      <c r="K28" s="15"/>
      <c r="L28" s="15"/>
      <c r="M28" s="15"/>
      <c r="N28" s="15"/>
      <c r="O28" s="15"/>
      <c r="P28" s="15"/>
      <c r="Q28" s="15"/>
      <c r="R28" s="15"/>
      <c r="S28" s="15"/>
      <c r="T28" s="15"/>
      <c r="U28" s="15"/>
      <c r="V28" s="24">
        <f t="shared" si="5"/>
        <v>0</v>
      </c>
      <c r="W28" s="20">
        <f t="shared" si="6"/>
        <v>0</v>
      </c>
    </row>
    <row r="29" ht="15.75" customHeight="1">
      <c r="A29" s="23" t="s">
        <v>98</v>
      </c>
      <c r="B29" s="15"/>
      <c r="C29" s="15"/>
      <c r="D29" s="15"/>
      <c r="E29" s="15">
        <v>1.0</v>
      </c>
      <c r="F29" s="15">
        <v>1.0</v>
      </c>
      <c r="G29" s="15">
        <v>1.0</v>
      </c>
      <c r="H29" s="15"/>
      <c r="I29" s="15"/>
      <c r="J29" s="15"/>
      <c r="K29" s="15"/>
      <c r="L29" s="15">
        <v>1.0</v>
      </c>
      <c r="M29" s="15"/>
      <c r="N29" s="15">
        <v>1.0</v>
      </c>
      <c r="O29" s="15">
        <v>1.0</v>
      </c>
      <c r="P29" s="15"/>
      <c r="Q29" s="15"/>
      <c r="R29" s="15"/>
      <c r="S29" s="15"/>
      <c r="T29" s="15"/>
      <c r="U29" s="15"/>
      <c r="V29" s="24">
        <f t="shared" si="5"/>
        <v>6</v>
      </c>
      <c r="W29" s="20">
        <f t="shared" si="6"/>
        <v>0</v>
      </c>
    </row>
    <row r="30" ht="15.75" customHeight="1">
      <c r="A30" s="23" t="s">
        <v>138</v>
      </c>
      <c r="B30" s="15"/>
      <c r="C30" s="15"/>
      <c r="D30" s="15"/>
      <c r="E30" s="15"/>
      <c r="F30" s="15"/>
      <c r="G30" s="15"/>
      <c r="H30" s="15"/>
      <c r="I30" s="15"/>
      <c r="J30" s="15"/>
      <c r="K30" s="15"/>
      <c r="L30" s="15"/>
      <c r="M30" s="15"/>
      <c r="N30" s="15"/>
      <c r="O30" s="15"/>
      <c r="P30" s="15"/>
      <c r="Q30" s="15"/>
      <c r="R30" s="15"/>
      <c r="S30" s="15"/>
      <c r="T30" s="15"/>
      <c r="U30" s="15"/>
      <c r="V30" s="24">
        <f t="shared" si="5"/>
        <v>0</v>
      </c>
      <c r="W30" s="20">
        <f t="shared" si="6"/>
        <v>0</v>
      </c>
    </row>
    <row r="31" ht="15.75" customHeight="1">
      <c r="A31" s="23" t="s">
        <v>139</v>
      </c>
      <c r="B31" s="15"/>
      <c r="C31" s="15">
        <v>1.0</v>
      </c>
      <c r="D31" s="15"/>
      <c r="E31" s="15"/>
      <c r="F31" s="15"/>
      <c r="G31" s="15">
        <v>1.0</v>
      </c>
      <c r="H31" s="15"/>
      <c r="I31" s="15"/>
      <c r="J31" s="15"/>
      <c r="K31" s="15"/>
      <c r="L31" s="15"/>
      <c r="M31" s="15"/>
      <c r="N31" s="15"/>
      <c r="O31" s="15"/>
      <c r="P31" s="15"/>
      <c r="Q31" s="15"/>
      <c r="R31" s="15"/>
      <c r="S31" s="15"/>
      <c r="T31" s="15"/>
      <c r="U31" s="15"/>
      <c r="V31" s="24">
        <f t="shared" si="5"/>
        <v>2</v>
      </c>
      <c r="W31" s="20">
        <f t="shared" si="6"/>
        <v>0</v>
      </c>
    </row>
    <row r="32" ht="15.75" customHeight="1">
      <c r="A32" s="23" t="s">
        <v>140</v>
      </c>
      <c r="B32" s="15"/>
      <c r="C32" s="15"/>
      <c r="D32" s="15">
        <v>1.0</v>
      </c>
      <c r="E32" s="15">
        <v>1.0</v>
      </c>
      <c r="F32" s="15">
        <v>1.0</v>
      </c>
      <c r="G32" s="15">
        <v>1.0</v>
      </c>
      <c r="H32" s="15"/>
      <c r="I32" s="15">
        <v>1.0</v>
      </c>
      <c r="J32" s="15">
        <v>1.0</v>
      </c>
      <c r="K32" s="15">
        <v>1.0</v>
      </c>
      <c r="L32" s="15">
        <v>1.0</v>
      </c>
      <c r="M32" s="15"/>
      <c r="N32" s="15"/>
      <c r="O32" s="15">
        <v>1.0</v>
      </c>
      <c r="P32" s="15"/>
      <c r="Q32" s="15"/>
      <c r="R32" s="15"/>
      <c r="S32" s="15"/>
      <c r="T32" s="15"/>
      <c r="U32" s="15"/>
      <c r="V32" s="24">
        <f t="shared" si="5"/>
        <v>9</v>
      </c>
      <c r="W32" s="20">
        <f t="shared" si="6"/>
        <v>0</v>
      </c>
    </row>
    <row r="33" ht="15.75" customHeight="1">
      <c r="A33" s="23" t="s">
        <v>141</v>
      </c>
      <c r="B33" s="15"/>
      <c r="C33" s="15"/>
      <c r="D33" s="15">
        <v>1.0</v>
      </c>
      <c r="E33" s="15">
        <v>1.0</v>
      </c>
      <c r="F33" s="15">
        <v>1.0</v>
      </c>
      <c r="G33" s="15">
        <v>1.0</v>
      </c>
      <c r="H33" s="15">
        <v>1.0</v>
      </c>
      <c r="I33" s="15">
        <v>1.0</v>
      </c>
      <c r="J33" s="15">
        <v>1.0</v>
      </c>
      <c r="K33" s="15">
        <v>1.0</v>
      </c>
      <c r="L33" s="15">
        <v>1.0</v>
      </c>
      <c r="M33" s="15">
        <v>1.0</v>
      </c>
      <c r="N33" s="15">
        <v>1.0</v>
      </c>
      <c r="O33" s="15">
        <v>1.0</v>
      </c>
      <c r="P33" s="15"/>
      <c r="Q33" s="15"/>
      <c r="R33" s="15"/>
      <c r="S33" s="15"/>
      <c r="T33" s="15"/>
      <c r="U33" s="15"/>
      <c r="V33" s="24">
        <f t="shared" si="5"/>
        <v>12</v>
      </c>
      <c r="W33" s="20">
        <f t="shared" si="6"/>
        <v>0</v>
      </c>
    </row>
    <row r="34" ht="15.75" customHeight="1">
      <c r="A34" s="23" t="s">
        <v>105</v>
      </c>
      <c r="B34" s="15"/>
      <c r="C34" s="15">
        <v>1.0</v>
      </c>
      <c r="D34" s="15"/>
      <c r="E34" s="15">
        <v>1.0</v>
      </c>
      <c r="F34" s="15"/>
      <c r="G34" s="15">
        <v>1.0</v>
      </c>
      <c r="H34" s="15">
        <v>1.0</v>
      </c>
      <c r="I34" s="15">
        <v>1.0</v>
      </c>
      <c r="J34" s="15">
        <v>1.0</v>
      </c>
      <c r="K34" s="15">
        <v>1.0</v>
      </c>
      <c r="L34" s="15"/>
      <c r="M34" s="15">
        <v>1.0</v>
      </c>
      <c r="N34" s="15">
        <v>1.0</v>
      </c>
      <c r="O34" s="15">
        <v>1.0</v>
      </c>
      <c r="P34" s="15"/>
      <c r="Q34" s="15"/>
      <c r="R34" s="15"/>
      <c r="S34" s="15"/>
      <c r="T34" s="15"/>
      <c r="U34" s="15"/>
      <c r="V34" s="24">
        <f t="shared" si="5"/>
        <v>10</v>
      </c>
      <c r="W34" s="20">
        <f t="shared" si="6"/>
        <v>0</v>
      </c>
    </row>
    <row r="35" ht="15.75" customHeight="1">
      <c r="A35" s="23" t="s">
        <v>111</v>
      </c>
      <c r="B35" s="15"/>
      <c r="C35" s="15"/>
      <c r="D35" s="15"/>
      <c r="E35" s="15"/>
      <c r="F35" s="15"/>
      <c r="G35" s="15"/>
      <c r="H35" s="15">
        <v>1.0</v>
      </c>
      <c r="I35" s="15"/>
      <c r="J35" s="15">
        <v>1.0</v>
      </c>
      <c r="K35" s="15"/>
      <c r="L35" s="15"/>
      <c r="M35" s="15"/>
      <c r="N35" s="15">
        <v>1.0</v>
      </c>
      <c r="O35" s="15">
        <v>1.0</v>
      </c>
      <c r="P35" s="15"/>
      <c r="Q35" s="15"/>
      <c r="R35" s="15"/>
      <c r="S35" s="15"/>
      <c r="T35" s="15"/>
      <c r="U35" s="15"/>
      <c r="V35" s="24">
        <f t="shared" si="5"/>
        <v>4</v>
      </c>
      <c r="W35" s="20">
        <f t="shared" si="6"/>
        <v>0</v>
      </c>
    </row>
    <row r="36" ht="15.75" customHeight="1">
      <c r="A36" s="23" t="s">
        <v>102</v>
      </c>
      <c r="B36" s="15">
        <v>1.0</v>
      </c>
      <c r="C36" s="15">
        <v>1.0</v>
      </c>
      <c r="D36" s="15"/>
      <c r="E36" s="15">
        <v>1.0</v>
      </c>
      <c r="F36" s="15">
        <v>1.0</v>
      </c>
      <c r="G36" s="15"/>
      <c r="H36" s="15">
        <v>1.0</v>
      </c>
      <c r="I36" s="15">
        <v>1.0</v>
      </c>
      <c r="J36" s="15">
        <v>1.0</v>
      </c>
      <c r="K36" s="15">
        <v>1.0</v>
      </c>
      <c r="L36" s="15"/>
      <c r="M36" s="15">
        <v>1.0</v>
      </c>
      <c r="N36" s="15"/>
      <c r="O36" s="15">
        <v>1.0</v>
      </c>
      <c r="P36" s="15"/>
      <c r="Q36" s="15"/>
      <c r="R36" s="15"/>
      <c r="S36" s="15"/>
      <c r="T36" s="15"/>
      <c r="U36" s="15"/>
      <c r="V36" s="24">
        <f t="shared" si="5"/>
        <v>10</v>
      </c>
      <c r="W36" s="20">
        <f t="shared" si="6"/>
        <v>0</v>
      </c>
    </row>
    <row r="37" ht="15.75" customHeight="1">
      <c r="A37" s="23" t="s">
        <v>142</v>
      </c>
      <c r="B37" s="15"/>
      <c r="C37" s="15"/>
      <c r="D37" s="15"/>
      <c r="E37" s="15"/>
      <c r="F37" s="15"/>
      <c r="G37" s="15"/>
      <c r="H37" s="15"/>
      <c r="I37" s="15"/>
      <c r="J37" s="15"/>
      <c r="K37" s="15"/>
      <c r="L37" s="15"/>
      <c r="M37" s="15"/>
      <c r="N37" s="15"/>
      <c r="O37" s="15"/>
      <c r="P37" s="15"/>
      <c r="Q37" s="15"/>
      <c r="R37" s="15"/>
      <c r="S37" s="15"/>
      <c r="T37" s="15"/>
      <c r="U37" s="15"/>
      <c r="V37" s="24">
        <f t="shared" si="5"/>
        <v>0</v>
      </c>
      <c r="W37" s="20">
        <f t="shared" si="6"/>
        <v>0</v>
      </c>
    </row>
    <row r="38" ht="15.75" customHeight="1">
      <c r="A38" s="23" t="s">
        <v>99</v>
      </c>
      <c r="B38" s="15"/>
      <c r="C38" s="15"/>
      <c r="D38" s="15">
        <v>1.0</v>
      </c>
      <c r="E38" s="15">
        <v>1.0</v>
      </c>
      <c r="F38" s="15">
        <v>1.0</v>
      </c>
      <c r="G38" s="15"/>
      <c r="H38" s="15">
        <v>1.0</v>
      </c>
      <c r="I38" s="15">
        <v>1.0</v>
      </c>
      <c r="J38" s="15">
        <v>1.0</v>
      </c>
      <c r="K38" s="15">
        <v>1.0</v>
      </c>
      <c r="L38" s="15"/>
      <c r="M38" s="15"/>
      <c r="N38" s="15"/>
      <c r="O38" s="15"/>
      <c r="P38" s="15"/>
      <c r="Q38" s="15"/>
      <c r="R38" s="15"/>
      <c r="S38" s="15"/>
      <c r="T38" s="15"/>
      <c r="U38" s="15"/>
      <c r="V38" s="24">
        <f t="shared" si="5"/>
        <v>7</v>
      </c>
      <c r="W38" s="20">
        <f t="shared" si="6"/>
        <v>0</v>
      </c>
    </row>
    <row r="39" ht="15.75" customHeight="1">
      <c r="A39" s="23" t="s">
        <v>143</v>
      </c>
      <c r="B39" s="15">
        <v>1.0</v>
      </c>
      <c r="C39" s="15">
        <v>1.0</v>
      </c>
      <c r="D39" s="15">
        <v>1.0</v>
      </c>
      <c r="E39" s="15">
        <v>1.0</v>
      </c>
      <c r="F39" s="15">
        <v>1.0</v>
      </c>
      <c r="G39" s="15">
        <v>1.0</v>
      </c>
      <c r="H39" s="15"/>
      <c r="I39" s="15">
        <v>1.0</v>
      </c>
      <c r="J39" s="15">
        <v>1.0</v>
      </c>
      <c r="K39" s="15">
        <v>1.0</v>
      </c>
      <c r="L39" s="15">
        <v>1.0</v>
      </c>
      <c r="M39" s="15">
        <v>1.0</v>
      </c>
      <c r="N39" s="15">
        <v>1.0</v>
      </c>
      <c r="O39" s="15">
        <v>1.0</v>
      </c>
      <c r="P39" s="15"/>
      <c r="Q39" s="15"/>
      <c r="R39" s="15"/>
      <c r="S39" s="15"/>
      <c r="T39" s="15"/>
      <c r="U39" s="15"/>
      <c r="V39" s="24">
        <f t="shared" si="5"/>
        <v>13</v>
      </c>
      <c r="W39" s="20">
        <f t="shared" si="6"/>
        <v>0</v>
      </c>
    </row>
    <row r="40" ht="15.75" customHeight="1">
      <c r="A40" s="23"/>
      <c r="B40" s="15"/>
      <c r="C40" s="15"/>
      <c r="D40" s="15"/>
      <c r="E40" s="15"/>
      <c r="F40" s="15"/>
      <c r="G40" s="15"/>
      <c r="H40" s="15"/>
      <c r="I40" s="15"/>
      <c r="J40" s="15"/>
      <c r="K40" s="15"/>
      <c r="L40" s="15"/>
      <c r="M40" s="15"/>
      <c r="N40" s="15"/>
      <c r="O40" s="15"/>
      <c r="P40" s="15"/>
      <c r="Q40" s="15"/>
      <c r="R40" s="15"/>
      <c r="S40" s="15"/>
      <c r="T40" s="15"/>
      <c r="U40" s="15"/>
      <c r="V40" s="24">
        <f t="shared" si="5"/>
        <v>0</v>
      </c>
      <c r="W40" s="20">
        <f t="shared" si="6"/>
        <v>0</v>
      </c>
    </row>
    <row r="41" ht="15.75" customHeight="1">
      <c r="A41" s="23"/>
      <c r="B41" s="15"/>
      <c r="C41" s="15"/>
      <c r="D41" s="15"/>
      <c r="E41" s="15"/>
      <c r="F41" s="15"/>
      <c r="G41" s="15"/>
      <c r="H41" s="15"/>
      <c r="I41" s="15"/>
      <c r="J41" s="15"/>
      <c r="K41" s="15"/>
      <c r="L41" s="15"/>
      <c r="M41" s="15"/>
      <c r="N41" s="15"/>
      <c r="O41" s="15"/>
      <c r="P41" s="15"/>
      <c r="Q41" s="15"/>
      <c r="R41" s="15"/>
      <c r="S41" s="15"/>
      <c r="T41" s="15"/>
      <c r="U41" s="15"/>
      <c r="V41" s="24">
        <f t="shared" si="5"/>
        <v>0</v>
      </c>
      <c r="W41" s="20">
        <f t="shared" si="6"/>
        <v>0</v>
      </c>
    </row>
    <row r="42" ht="15.75" customHeight="1">
      <c r="A42" s="23"/>
      <c r="B42" s="15"/>
      <c r="C42" s="15"/>
      <c r="D42" s="15"/>
      <c r="E42" s="15"/>
      <c r="F42" s="15"/>
      <c r="G42" s="15"/>
      <c r="H42" s="15"/>
      <c r="I42" s="15"/>
      <c r="J42" s="15"/>
      <c r="K42" s="15"/>
      <c r="L42" s="15"/>
      <c r="M42" s="15"/>
      <c r="N42" s="15"/>
      <c r="O42" s="15"/>
      <c r="P42" s="15"/>
      <c r="Q42" s="15"/>
      <c r="R42" s="15"/>
      <c r="S42" s="15"/>
      <c r="T42" s="15"/>
      <c r="U42" s="15"/>
      <c r="V42" s="24">
        <f t="shared" si="5"/>
        <v>0</v>
      </c>
      <c r="W42" s="20">
        <f t="shared" si="6"/>
        <v>0</v>
      </c>
    </row>
    <row r="43" ht="15.75" customHeight="1">
      <c r="A43" s="23"/>
      <c r="B43" s="15"/>
      <c r="C43" s="15"/>
      <c r="D43" s="15"/>
      <c r="E43" s="15"/>
      <c r="F43" s="15"/>
      <c r="G43" s="15"/>
      <c r="H43" s="15"/>
      <c r="I43" s="15"/>
      <c r="J43" s="15"/>
      <c r="K43" s="15"/>
      <c r="L43" s="15"/>
      <c r="M43" s="15"/>
      <c r="N43" s="15"/>
      <c r="O43" s="15"/>
      <c r="P43" s="15"/>
      <c r="Q43" s="15"/>
      <c r="R43" s="15"/>
      <c r="S43" s="15"/>
      <c r="T43" s="15"/>
      <c r="U43" s="15"/>
      <c r="V43" s="24">
        <f t="shared" si="5"/>
        <v>0</v>
      </c>
      <c r="W43" s="20">
        <f t="shared" si="6"/>
        <v>0</v>
      </c>
    </row>
    <row r="44" ht="15.75" customHeight="1">
      <c r="A44" s="23"/>
      <c r="B44" s="15"/>
      <c r="C44" s="15"/>
      <c r="D44" s="15"/>
      <c r="E44" s="15"/>
      <c r="F44" s="15"/>
      <c r="G44" s="15"/>
      <c r="H44" s="15"/>
      <c r="I44" s="15"/>
      <c r="J44" s="15"/>
      <c r="K44" s="15"/>
      <c r="L44" s="15"/>
      <c r="M44" s="15"/>
      <c r="N44" s="15"/>
      <c r="O44" s="15"/>
      <c r="P44" s="15"/>
      <c r="Q44" s="15"/>
      <c r="R44" s="15"/>
      <c r="S44" s="15"/>
      <c r="T44" s="15"/>
      <c r="U44" s="15"/>
      <c r="V44" s="24">
        <f t="shared" si="5"/>
        <v>0</v>
      </c>
      <c r="W44" s="20">
        <f t="shared" si="6"/>
        <v>0</v>
      </c>
    </row>
    <row r="45" ht="15.75" customHeight="1">
      <c r="A45" s="23"/>
      <c r="B45" s="15"/>
      <c r="C45" s="15"/>
      <c r="D45" s="15"/>
      <c r="E45" s="15"/>
      <c r="F45" s="15"/>
      <c r="G45" s="15"/>
      <c r="H45" s="15"/>
      <c r="I45" s="15"/>
      <c r="J45" s="15"/>
      <c r="K45" s="15"/>
      <c r="L45" s="15"/>
      <c r="M45" s="15"/>
      <c r="N45" s="15"/>
      <c r="O45" s="15"/>
      <c r="P45" s="15"/>
      <c r="Q45" s="15"/>
      <c r="R45" s="15"/>
      <c r="S45" s="15"/>
      <c r="T45" s="15"/>
      <c r="U45" s="15"/>
      <c r="V45" s="24">
        <f t="shared" si="5"/>
        <v>0</v>
      </c>
      <c r="W45" s="20">
        <f t="shared" si="6"/>
        <v>0</v>
      </c>
    </row>
    <row r="46" ht="15.75" customHeight="1">
      <c r="A46" s="7" t="s">
        <v>144</v>
      </c>
      <c r="V46" s="24">
        <f t="shared" ref="V46:W46" si="7">SUM(V18:V45)</f>
        <v>86</v>
      </c>
      <c r="W46" s="25">
        <f t="shared" si="7"/>
        <v>0</v>
      </c>
    </row>
    <row r="47" ht="15.75" customHeight="1"/>
    <row r="48" ht="15.75" customHeight="1">
      <c r="A48" s="21" t="s">
        <v>146</v>
      </c>
      <c r="B48" s="22" t="s">
        <v>41</v>
      </c>
      <c r="C48" s="22" t="s">
        <v>42</v>
      </c>
      <c r="D48" s="22" t="s">
        <v>43</v>
      </c>
      <c r="E48" s="22" t="s">
        <v>44</v>
      </c>
      <c r="F48" s="22" t="s">
        <v>45</v>
      </c>
      <c r="G48" s="22" t="s">
        <v>46</v>
      </c>
      <c r="H48" s="22" t="s">
        <v>47</v>
      </c>
      <c r="I48" s="22" t="s">
        <v>48</v>
      </c>
      <c r="J48" s="22" t="s">
        <v>49</v>
      </c>
      <c r="K48" s="22" t="s">
        <v>50</v>
      </c>
      <c r="L48" s="22" t="s">
        <v>51</v>
      </c>
      <c r="M48" s="22" t="s">
        <v>52</v>
      </c>
      <c r="N48" s="22" t="s">
        <v>53</v>
      </c>
      <c r="O48" s="22" t="s">
        <v>54</v>
      </c>
      <c r="P48" s="22" t="s">
        <v>55</v>
      </c>
      <c r="Q48" s="22" t="s">
        <v>56</v>
      </c>
      <c r="R48" s="22" t="s">
        <v>57</v>
      </c>
      <c r="S48" s="22" t="s">
        <v>58</v>
      </c>
      <c r="T48" s="22" t="s">
        <v>59</v>
      </c>
      <c r="U48" s="22" t="s">
        <v>60</v>
      </c>
      <c r="V48" s="22" t="s">
        <v>147</v>
      </c>
    </row>
    <row r="49" ht="15.75" customHeight="1">
      <c r="A49" s="23" t="str">
        <f t="shared" ref="A49:A76" si="8">IF($A18="","",$A18)</f>
        <v>Ahmed</v>
      </c>
      <c r="B49" s="15"/>
      <c r="C49" s="15"/>
      <c r="D49" s="15"/>
      <c r="E49" s="15"/>
      <c r="F49" s="15"/>
      <c r="G49" s="15"/>
      <c r="H49" s="15"/>
      <c r="I49" s="15"/>
      <c r="J49" s="15"/>
      <c r="K49" s="15"/>
      <c r="L49" s="15"/>
      <c r="M49" s="15"/>
      <c r="N49" s="15"/>
      <c r="O49" s="15"/>
      <c r="P49" s="15"/>
      <c r="Q49" s="15"/>
      <c r="R49" s="15"/>
      <c r="S49" s="15"/>
      <c r="T49" s="15"/>
      <c r="U49" s="15"/>
      <c r="V49" s="24">
        <f t="shared" ref="V49:V76" si="9">SUMPRODUCT(B49:U49*($B$16:$U$16=""))</f>
        <v>0</v>
      </c>
    </row>
    <row r="50" ht="15.75" customHeight="1">
      <c r="A50" s="23" t="str">
        <f t="shared" si="8"/>
        <v>Alex Ruben</v>
      </c>
      <c r="B50" s="15"/>
      <c r="C50" s="15"/>
      <c r="D50" s="15"/>
      <c r="E50" s="15"/>
      <c r="F50" s="15"/>
      <c r="G50" s="15"/>
      <c r="H50" s="15"/>
      <c r="I50" s="15"/>
      <c r="J50" s="15"/>
      <c r="K50" s="15"/>
      <c r="L50" s="15"/>
      <c r="M50" s="15"/>
      <c r="N50" s="15"/>
      <c r="O50" s="15"/>
      <c r="P50" s="15"/>
      <c r="Q50" s="15"/>
      <c r="R50" s="15"/>
      <c r="S50" s="15"/>
      <c r="T50" s="15"/>
      <c r="U50" s="15"/>
      <c r="V50" s="24">
        <f t="shared" si="9"/>
        <v>0</v>
      </c>
    </row>
    <row r="51" ht="15.75" customHeight="1">
      <c r="A51" s="23" t="str">
        <f t="shared" si="8"/>
        <v>Andy Cowan</v>
      </c>
      <c r="B51" s="15"/>
      <c r="C51" s="15"/>
      <c r="D51" s="15"/>
      <c r="E51" s="15"/>
      <c r="F51" s="15"/>
      <c r="G51" s="15"/>
      <c r="H51" s="15"/>
      <c r="I51" s="15"/>
      <c r="J51" s="15"/>
      <c r="K51" s="15"/>
      <c r="L51" s="15"/>
      <c r="M51" s="15"/>
      <c r="N51" s="15"/>
      <c r="O51" s="15"/>
      <c r="P51" s="15"/>
      <c r="Q51" s="15"/>
      <c r="R51" s="15"/>
      <c r="S51" s="15"/>
      <c r="T51" s="15"/>
      <c r="U51" s="15"/>
      <c r="V51" s="24">
        <f t="shared" si="9"/>
        <v>0</v>
      </c>
    </row>
    <row r="52" ht="15.75" customHeight="1">
      <c r="A52" s="23" t="str">
        <f t="shared" si="8"/>
        <v>Ben Merrett</v>
      </c>
      <c r="B52" s="15"/>
      <c r="C52" s="15"/>
      <c r="D52" s="15"/>
      <c r="E52" s="15"/>
      <c r="F52" s="15"/>
      <c r="G52" s="15"/>
      <c r="H52" s="15"/>
      <c r="I52" s="15"/>
      <c r="J52" s="15"/>
      <c r="K52" s="15">
        <v>1.0</v>
      </c>
      <c r="L52" s="15"/>
      <c r="M52" s="15"/>
      <c r="N52" s="15"/>
      <c r="O52" s="15"/>
      <c r="P52" s="15"/>
      <c r="Q52" s="15"/>
      <c r="R52" s="15"/>
      <c r="S52" s="15"/>
      <c r="T52" s="15"/>
      <c r="U52" s="15"/>
      <c r="V52" s="24">
        <f t="shared" si="9"/>
        <v>1</v>
      </c>
    </row>
    <row r="53" ht="15.75" customHeight="1">
      <c r="A53" s="23" t="str">
        <f t="shared" si="8"/>
        <v>Callum McCarthy</v>
      </c>
      <c r="B53" s="15"/>
      <c r="C53" s="15"/>
      <c r="D53" s="15"/>
      <c r="E53" s="15"/>
      <c r="F53" s="15"/>
      <c r="G53" s="15"/>
      <c r="H53" s="15"/>
      <c r="I53" s="15"/>
      <c r="J53" s="15"/>
      <c r="K53" s="15"/>
      <c r="L53" s="15"/>
      <c r="M53" s="15"/>
      <c r="N53" s="15"/>
      <c r="O53" s="15"/>
      <c r="P53" s="15"/>
      <c r="Q53" s="15"/>
      <c r="R53" s="15"/>
      <c r="S53" s="15"/>
      <c r="T53" s="15"/>
      <c r="U53" s="15"/>
      <c r="V53" s="24">
        <f t="shared" si="9"/>
        <v>0</v>
      </c>
    </row>
    <row r="54" ht="15.75" customHeight="1">
      <c r="A54" s="23" t="str">
        <f t="shared" si="8"/>
        <v>Cecil Watson</v>
      </c>
      <c r="B54" s="15"/>
      <c r="C54" s="15"/>
      <c r="D54" s="15"/>
      <c r="E54" s="15"/>
      <c r="F54" s="15"/>
      <c r="G54" s="15"/>
      <c r="H54" s="15"/>
      <c r="I54" s="15"/>
      <c r="J54" s="15"/>
      <c r="K54" s="15"/>
      <c r="L54" s="15"/>
      <c r="M54" s="15"/>
      <c r="N54" s="15"/>
      <c r="O54" s="15"/>
      <c r="P54" s="15"/>
      <c r="Q54" s="15"/>
      <c r="R54" s="15"/>
      <c r="S54" s="15"/>
      <c r="T54" s="15"/>
      <c r="U54" s="15"/>
      <c r="V54" s="24">
        <f t="shared" si="9"/>
        <v>0</v>
      </c>
    </row>
    <row r="55" ht="15.75" customHeight="1">
      <c r="A55" s="23" t="str">
        <f t="shared" si="8"/>
        <v>Conall Templeman</v>
      </c>
      <c r="B55" s="15"/>
      <c r="C55" s="15"/>
      <c r="D55" s="15"/>
      <c r="E55" s="15"/>
      <c r="F55" s="15"/>
      <c r="G55" s="15"/>
      <c r="H55" s="15"/>
      <c r="I55" s="15"/>
      <c r="J55" s="15"/>
      <c r="K55" s="15"/>
      <c r="L55" s="15"/>
      <c r="M55" s="15"/>
      <c r="N55" s="15"/>
      <c r="O55" s="15"/>
      <c r="P55" s="15"/>
      <c r="Q55" s="15"/>
      <c r="R55" s="15"/>
      <c r="S55" s="15"/>
      <c r="T55" s="15"/>
      <c r="U55" s="15"/>
      <c r="V55" s="24">
        <f t="shared" si="9"/>
        <v>0</v>
      </c>
    </row>
    <row r="56" ht="15.75" customHeight="1">
      <c r="A56" s="23" t="str">
        <f t="shared" si="8"/>
        <v>Eddie Ringer</v>
      </c>
      <c r="B56" s="15"/>
      <c r="C56" s="15">
        <v>2.0</v>
      </c>
      <c r="D56" s="15"/>
      <c r="E56" s="15"/>
      <c r="F56" s="15"/>
      <c r="G56" s="15"/>
      <c r="H56" s="15"/>
      <c r="I56" s="15"/>
      <c r="J56" s="15"/>
      <c r="K56" s="15"/>
      <c r="L56" s="15"/>
      <c r="M56" s="15"/>
      <c r="N56" s="15"/>
      <c r="O56" s="15"/>
      <c r="P56" s="15"/>
      <c r="Q56" s="15"/>
      <c r="R56" s="15"/>
      <c r="S56" s="15"/>
      <c r="T56" s="15"/>
      <c r="U56" s="15"/>
      <c r="V56" s="24">
        <f t="shared" si="9"/>
        <v>2</v>
      </c>
    </row>
    <row r="57" ht="15.75" customHeight="1">
      <c r="A57" s="23" t="str">
        <f t="shared" si="8"/>
        <v>Finn Cawley</v>
      </c>
      <c r="B57" s="15"/>
      <c r="C57" s="15"/>
      <c r="D57" s="15"/>
      <c r="E57" s="15"/>
      <c r="F57" s="15"/>
      <c r="G57" s="15"/>
      <c r="H57" s="15">
        <v>2.0</v>
      </c>
      <c r="I57" s="15"/>
      <c r="J57" s="15"/>
      <c r="K57" s="15"/>
      <c r="L57" s="15"/>
      <c r="M57" s="15"/>
      <c r="N57" s="15"/>
      <c r="O57" s="15"/>
      <c r="P57" s="15"/>
      <c r="Q57" s="15"/>
      <c r="R57" s="15"/>
      <c r="S57" s="15"/>
      <c r="T57" s="15"/>
      <c r="U57" s="15"/>
      <c r="V57" s="24">
        <f t="shared" si="9"/>
        <v>2</v>
      </c>
    </row>
    <row r="58" ht="15.75" customHeight="1">
      <c r="A58" s="23" t="str">
        <f t="shared" si="8"/>
        <v>George Barbantan</v>
      </c>
      <c r="B58" s="15"/>
      <c r="C58" s="15"/>
      <c r="D58" s="15"/>
      <c r="E58" s="15"/>
      <c r="F58" s="15"/>
      <c r="G58" s="15"/>
      <c r="H58" s="15"/>
      <c r="I58" s="15"/>
      <c r="J58" s="15"/>
      <c r="K58" s="15"/>
      <c r="L58" s="15"/>
      <c r="M58" s="15"/>
      <c r="N58" s="15"/>
      <c r="O58" s="15"/>
      <c r="P58" s="15"/>
      <c r="Q58" s="15"/>
      <c r="R58" s="15"/>
      <c r="S58" s="15"/>
      <c r="T58" s="15"/>
      <c r="U58" s="15"/>
      <c r="V58" s="24">
        <f t="shared" si="9"/>
        <v>0</v>
      </c>
    </row>
    <row r="59" ht="15.75" customHeight="1">
      <c r="A59" s="23" t="str">
        <f t="shared" si="8"/>
        <v>Henry Linklater</v>
      </c>
      <c r="B59" s="15"/>
      <c r="C59" s="15"/>
      <c r="D59" s="15"/>
      <c r="E59" s="15"/>
      <c r="F59" s="15"/>
      <c r="G59" s="15"/>
      <c r="H59" s="15"/>
      <c r="I59" s="15"/>
      <c r="J59" s="15"/>
      <c r="K59" s="15"/>
      <c r="L59" s="15"/>
      <c r="M59" s="15"/>
      <c r="N59" s="15"/>
      <c r="O59" s="15"/>
      <c r="P59" s="15"/>
      <c r="Q59" s="15"/>
      <c r="R59" s="15"/>
      <c r="S59" s="15"/>
      <c r="T59" s="15"/>
      <c r="U59" s="15"/>
      <c r="V59" s="24">
        <f t="shared" si="9"/>
        <v>0</v>
      </c>
    </row>
    <row r="60" ht="15.75" customHeight="1">
      <c r="A60" s="23" t="str">
        <f t="shared" si="8"/>
        <v>Isaac Mond</v>
      </c>
      <c r="B60" s="15"/>
      <c r="C60" s="15"/>
      <c r="D60" s="15"/>
      <c r="E60" s="15"/>
      <c r="F60" s="15"/>
      <c r="G60" s="15"/>
      <c r="H60" s="15"/>
      <c r="I60" s="15"/>
      <c r="J60" s="15"/>
      <c r="K60" s="15"/>
      <c r="L60" s="15"/>
      <c r="M60" s="15"/>
      <c r="N60" s="15"/>
      <c r="O60" s="15"/>
      <c r="P60" s="15"/>
      <c r="Q60" s="15"/>
      <c r="R60" s="15"/>
      <c r="S60" s="15"/>
      <c r="T60" s="15"/>
      <c r="U60" s="15"/>
      <c r="V60" s="24">
        <f t="shared" si="9"/>
        <v>0</v>
      </c>
    </row>
    <row r="61" ht="15.75" customHeight="1">
      <c r="A61" s="23" t="str">
        <f t="shared" si="8"/>
        <v>Jake Harrison</v>
      </c>
      <c r="B61" s="15"/>
      <c r="C61" s="15"/>
      <c r="D61" s="15"/>
      <c r="E61" s="15"/>
      <c r="F61" s="15"/>
      <c r="G61" s="15"/>
      <c r="H61" s="15"/>
      <c r="I61" s="15"/>
      <c r="J61" s="15"/>
      <c r="K61" s="15"/>
      <c r="L61" s="15"/>
      <c r="M61" s="15"/>
      <c r="N61" s="15"/>
      <c r="O61" s="15"/>
      <c r="P61" s="15"/>
      <c r="Q61" s="15"/>
      <c r="R61" s="15"/>
      <c r="S61" s="15"/>
      <c r="T61" s="15"/>
      <c r="U61" s="15"/>
      <c r="V61" s="24">
        <f t="shared" si="9"/>
        <v>0</v>
      </c>
    </row>
    <row r="62" ht="15.75" customHeight="1">
      <c r="A62" s="23" t="str">
        <f t="shared" si="8"/>
        <v>Jake Ringer</v>
      </c>
      <c r="B62" s="15"/>
      <c r="C62" s="15"/>
      <c r="D62" s="15"/>
      <c r="E62" s="15"/>
      <c r="F62" s="15"/>
      <c r="G62" s="15"/>
      <c r="H62" s="15"/>
      <c r="I62" s="15"/>
      <c r="J62" s="15"/>
      <c r="K62" s="15"/>
      <c r="L62" s="15"/>
      <c r="M62" s="15"/>
      <c r="N62" s="15"/>
      <c r="O62" s="15"/>
      <c r="P62" s="15"/>
      <c r="Q62" s="15"/>
      <c r="R62" s="15"/>
      <c r="S62" s="15"/>
      <c r="T62" s="15"/>
      <c r="U62" s="15"/>
      <c r="V62" s="24">
        <f t="shared" si="9"/>
        <v>0</v>
      </c>
    </row>
    <row r="63" ht="15.75" customHeight="1">
      <c r="A63" s="23" t="str">
        <f t="shared" si="8"/>
        <v>Keshav Singh</v>
      </c>
      <c r="B63" s="15"/>
      <c r="C63" s="15"/>
      <c r="D63" s="15"/>
      <c r="E63" s="15">
        <v>1.0</v>
      </c>
      <c r="F63" s="15"/>
      <c r="G63" s="15"/>
      <c r="H63" s="15"/>
      <c r="I63" s="15">
        <v>2.0</v>
      </c>
      <c r="J63" s="15"/>
      <c r="K63" s="15"/>
      <c r="L63" s="15"/>
      <c r="M63" s="15"/>
      <c r="N63" s="15"/>
      <c r="O63" s="15"/>
      <c r="P63" s="15"/>
      <c r="Q63" s="15"/>
      <c r="R63" s="15"/>
      <c r="S63" s="15"/>
      <c r="T63" s="15"/>
      <c r="U63" s="15"/>
      <c r="V63" s="24">
        <f t="shared" si="9"/>
        <v>3</v>
      </c>
    </row>
    <row r="64" ht="15.75" customHeight="1">
      <c r="A64" s="23" t="str">
        <f t="shared" si="8"/>
        <v>Mark Pellowe</v>
      </c>
      <c r="B64" s="15"/>
      <c r="C64" s="15"/>
      <c r="D64" s="15">
        <v>2.0</v>
      </c>
      <c r="E64" s="15">
        <v>1.0</v>
      </c>
      <c r="F64" s="15"/>
      <c r="G64" s="15"/>
      <c r="H64" s="15"/>
      <c r="I64" s="15">
        <v>1.0</v>
      </c>
      <c r="J64" s="15"/>
      <c r="K64" s="15"/>
      <c r="L64" s="15"/>
      <c r="M64" s="15">
        <v>1.0</v>
      </c>
      <c r="N64" s="15">
        <v>1.0</v>
      </c>
      <c r="O64" s="15"/>
      <c r="P64" s="15"/>
      <c r="Q64" s="15"/>
      <c r="R64" s="15"/>
      <c r="S64" s="15"/>
      <c r="T64" s="15"/>
      <c r="U64" s="15"/>
      <c r="V64" s="24">
        <f t="shared" si="9"/>
        <v>6</v>
      </c>
    </row>
    <row r="65" ht="15.75" customHeight="1">
      <c r="A65" s="23" t="str">
        <f t="shared" si="8"/>
        <v>Max Cobain</v>
      </c>
      <c r="B65" s="15"/>
      <c r="C65" s="15">
        <v>1.0</v>
      </c>
      <c r="D65" s="15"/>
      <c r="E65" s="15">
        <v>1.0</v>
      </c>
      <c r="F65" s="15"/>
      <c r="G65" s="15"/>
      <c r="H65" s="15"/>
      <c r="I65" s="15"/>
      <c r="J65" s="15"/>
      <c r="K65" s="15">
        <v>1.0</v>
      </c>
      <c r="L65" s="15"/>
      <c r="M65" s="15"/>
      <c r="N65" s="15"/>
      <c r="O65" s="15"/>
      <c r="P65" s="15"/>
      <c r="Q65" s="15"/>
      <c r="R65" s="15"/>
      <c r="S65" s="15"/>
      <c r="T65" s="15"/>
      <c r="U65" s="15"/>
      <c r="V65" s="24">
        <f t="shared" si="9"/>
        <v>3</v>
      </c>
    </row>
    <row r="66" ht="15.75" customHeight="1">
      <c r="A66" s="23" t="str">
        <f t="shared" si="8"/>
        <v>Neeraj Radia</v>
      </c>
      <c r="B66" s="15"/>
      <c r="C66" s="15"/>
      <c r="D66" s="15"/>
      <c r="E66" s="15"/>
      <c r="F66" s="15"/>
      <c r="G66" s="15"/>
      <c r="H66" s="15"/>
      <c r="I66" s="15"/>
      <c r="J66" s="15"/>
      <c r="K66" s="15"/>
      <c r="L66" s="15"/>
      <c r="M66" s="15"/>
      <c r="N66" s="15">
        <v>1.0</v>
      </c>
      <c r="O66" s="15"/>
      <c r="P66" s="15"/>
      <c r="Q66" s="15"/>
      <c r="R66" s="15"/>
      <c r="S66" s="15"/>
      <c r="T66" s="15"/>
      <c r="U66" s="15"/>
      <c r="V66" s="24">
        <f t="shared" si="9"/>
        <v>1</v>
      </c>
    </row>
    <row r="67" ht="15.75" customHeight="1">
      <c r="A67" s="23" t="str">
        <f t="shared" si="8"/>
        <v>Phil Knott</v>
      </c>
      <c r="B67" s="15"/>
      <c r="C67" s="15">
        <v>2.0</v>
      </c>
      <c r="D67" s="15"/>
      <c r="E67" s="15"/>
      <c r="F67" s="15">
        <v>1.0</v>
      </c>
      <c r="G67" s="15"/>
      <c r="H67" s="15"/>
      <c r="I67" s="15">
        <v>1.0</v>
      </c>
      <c r="J67" s="15"/>
      <c r="K67" s="15"/>
      <c r="L67" s="15"/>
      <c r="M67" s="15"/>
      <c r="N67" s="15"/>
      <c r="O67" s="15"/>
      <c r="P67" s="15"/>
      <c r="Q67" s="15"/>
      <c r="R67" s="15"/>
      <c r="S67" s="15"/>
      <c r="T67" s="15"/>
      <c r="U67" s="15"/>
      <c r="V67" s="24">
        <f t="shared" si="9"/>
        <v>4</v>
      </c>
    </row>
    <row r="68" ht="15.75" customHeight="1">
      <c r="A68" s="23" t="str">
        <f t="shared" si="8"/>
        <v>Robin</v>
      </c>
      <c r="B68" s="15"/>
      <c r="C68" s="15"/>
      <c r="D68" s="15"/>
      <c r="E68" s="15"/>
      <c r="F68" s="15"/>
      <c r="G68" s="15"/>
      <c r="H68" s="15"/>
      <c r="I68" s="15"/>
      <c r="J68" s="15"/>
      <c r="K68" s="15"/>
      <c r="L68" s="15"/>
      <c r="M68" s="15"/>
      <c r="N68" s="15"/>
      <c r="O68" s="15"/>
      <c r="P68" s="15"/>
      <c r="Q68" s="15"/>
      <c r="R68" s="15"/>
      <c r="S68" s="15"/>
      <c r="T68" s="15"/>
      <c r="U68" s="15"/>
      <c r="V68" s="24">
        <f t="shared" si="9"/>
        <v>0</v>
      </c>
    </row>
    <row r="69" ht="15.75" customHeight="1">
      <c r="A69" s="23" t="str">
        <f t="shared" si="8"/>
        <v>Sam Holt</v>
      </c>
      <c r="B69" s="15"/>
      <c r="C69" s="15"/>
      <c r="D69" s="15"/>
      <c r="E69" s="15"/>
      <c r="F69" s="15"/>
      <c r="G69" s="15"/>
      <c r="H69" s="15"/>
      <c r="I69" s="15"/>
      <c r="J69" s="15">
        <v>1.0</v>
      </c>
      <c r="K69" s="15"/>
      <c r="L69" s="15"/>
      <c r="M69" s="15"/>
      <c r="N69" s="15"/>
      <c r="O69" s="15"/>
      <c r="P69" s="15"/>
      <c r="Q69" s="15"/>
      <c r="R69" s="15"/>
      <c r="S69" s="15"/>
      <c r="T69" s="15"/>
      <c r="U69" s="15"/>
      <c r="V69" s="24">
        <f t="shared" si="9"/>
        <v>1</v>
      </c>
    </row>
    <row r="70" ht="15.75" customHeight="1">
      <c r="A70" s="23" t="str">
        <f t="shared" si="8"/>
        <v>Seb Burgess</v>
      </c>
      <c r="B70" s="15">
        <v>1.0</v>
      </c>
      <c r="C70" s="15"/>
      <c r="D70" s="15">
        <v>1.0</v>
      </c>
      <c r="E70" s="15"/>
      <c r="F70" s="15">
        <v>1.0</v>
      </c>
      <c r="G70" s="15"/>
      <c r="H70" s="15"/>
      <c r="I70" s="15"/>
      <c r="J70" s="15">
        <v>1.0</v>
      </c>
      <c r="K70" s="15">
        <v>1.0</v>
      </c>
      <c r="L70" s="15">
        <v>1.0</v>
      </c>
      <c r="M70" s="15">
        <v>2.0</v>
      </c>
      <c r="N70" s="15">
        <v>5.0</v>
      </c>
      <c r="O70" s="15">
        <v>2.0</v>
      </c>
      <c r="P70" s="15"/>
      <c r="Q70" s="15"/>
      <c r="R70" s="15"/>
      <c r="S70" s="15"/>
      <c r="T70" s="15"/>
      <c r="U70" s="15"/>
      <c r="V70" s="24">
        <f t="shared" si="9"/>
        <v>15</v>
      </c>
    </row>
    <row r="71" ht="15.75" customHeight="1">
      <c r="A71" s="23" t="str">
        <f t="shared" si="8"/>
        <v/>
      </c>
      <c r="B71" s="15"/>
      <c r="C71" s="15"/>
      <c r="D71" s="15"/>
      <c r="E71" s="15"/>
      <c r="F71" s="15"/>
      <c r="G71" s="15"/>
      <c r="H71" s="15"/>
      <c r="I71" s="15"/>
      <c r="J71" s="15"/>
      <c r="K71" s="15"/>
      <c r="L71" s="15"/>
      <c r="M71" s="15"/>
      <c r="N71" s="15"/>
      <c r="O71" s="15"/>
      <c r="P71" s="15"/>
      <c r="Q71" s="15"/>
      <c r="R71" s="15"/>
      <c r="S71" s="15"/>
      <c r="T71" s="15"/>
      <c r="U71" s="15"/>
      <c r="V71" s="24">
        <f t="shared" si="9"/>
        <v>0</v>
      </c>
    </row>
    <row r="72" ht="15.75" customHeight="1">
      <c r="A72" s="23" t="str">
        <f t="shared" si="8"/>
        <v/>
      </c>
      <c r="B72" s="15"/>
      <c r="C72" s="15"/>
      <c r="D72" s="15"/>
      <c r="E72" s="15"/>
      <c r="F72" s="15"/>
      <c r="G72" s="15"/>
      <c r="H72" s="15"/>
      <c r="I72" s="15"/>
      <c r="J72" s="15"/>
      <c r="K72" s="15"/>
      <c r="L72" s="15"/>
      <c r="M72" s="15"/>
      <c r="N72" s="15"/>
      <c r="O72" s="15"/>
      <c r="P72" s="15"/>
      <c r="Q72" s="15"/>
      <c r="R72" s="15"/>
      <c r="S72" s="15"/>
      <c r="T72" s="15"/>
      <c r="U72" s="15"/>
      <c r="V72" s="24">
        <f t="shared" si="9"/>
        <v>0</v>
      </c>
    </row>
    <row r="73" ht="15.75" customHeight="1">
      <c r="A73" s="23" t="str">
        <f t="shared" si="8"/>
        <v/>
      </c>
      <c r="B73" s="15"/>
      <c r="C73" s="15"/>
      <c r="D73" s="15"/>
      <c r="E73" s="15"/>
      <c r="F73" s="15"/>
      <c r="G73" s="15"/>
      <c r="H73" s="15"/>
      <c r="I73" s="15"/>
      <c r="J73" s="15"/>
      <c r="K73" s="15"/>
      <c r="L73" s="15"/>
      <c r="M73" s="15"/>
      <c r="N73" s="15"/>
      <c r="O73" s="15"/>
      <c r="P73" s="15"/>
      <c r="Q73" s="15"/>
      <c r="R73" s="15"/>
      <c r="S73" s="15"/>
      <c r="T73" s="15"/>
      <c r="U73" s="15"/>
      <c r="V73" s="24">
        <f t="shared" si="9"/>
        <v>0</v>
      </c>
    </row>
    <row r="74" ht="15.75" customHeight="1">
      <c r="A74" s="23" t="str">
        <f t="shared" si="8"/>
        <v/>
      </c>
      <c r="B74" s="15"/>
      <c r="C74" s="15"/>
      <c r="D74" s="15"/>
      <c r="E74" s="15"/>
      <c r="F74" s="15"/>
      <c r="G74" s="15"/>
      <c r="H74" s="15"/>
      <c r="I74" s="15"/>
      <c r="J74" s="15"/>
      <c r="K74" s="15"/>
      <c r="L74" s="15"/>
      <c r="M74" s="15"/>
      <c r="N74" s="15"/>
      <c r="O74" s="15"/>
      <c r="P74" s="15"/>
      <c r="Q74" s="15"/>
      <c r="R74" s="15"/>
      <c r="S74" s="15"/>
      <c r="T74" s="15"/>
      <c r="U74" s="15"/>
      <c r="V74" s="24">
        <f t="shared" si="9"/>
        <v>0</v>
      </c>
    </row>
    <row r="75" ht="15.75" customHeight="1">
      <c r="A75" s="23" t="str">
        <f t="shared" si="8"/>
        <v/>
      </c>
      <c r="B75" s="15"/>
      <c r="C75" s="15"/>
      <c r="D75" s="15"/>
      <c r="E75" s="15"/>
      <c r="F75" s="15"/>
      <c r="G75" s="15"/>
      <c r="H75" s="15"/>
      <c r="I75" s="15"/>
      <c r="J75" s="15"/>
      <c r="K75" s="15"/>
      <c r="L75" s="15"/>
      <c r="M75" s="15"/>
      <c r="N75" s="15"/>
      <c r="O75" s="15"/>
      <c r="P75" s="15"/>
      <c r="Q75" s="15"/>
      <c r="R75" s="15"/>
      <c r="S75" s="15"/>
      <c r="T75" s="15"/>
      <c r="U75" s="15"/>
      <c r="V75" s="24">
        <f t="shared" si="9"/>
        <v>0</v>
      </c>
    </row>
    <row r="76" ht="15.75" customHeight="1">
      <c r="A76" s="23" t="str">
        <f t="shared" si="8"/>
        <v/>
      </c>
      <c r="B76" s="15"/>
      <c r="C76" s="15"/>
      <c r="D76" s="15"/>
      <c r="E76" s="15"/>
      <c r="F76" s="15"/>
      <c r="G76" s="15"/>
      <c r="H76" s="15"/>
      <c r="I76" s="15"/>
      <c r="J76" s="15"/>
      <c r="K76" s="15"/>
      <c r="L76" s="15"/>
      <c r="M76" s="15"/>
      <c r="N76" s="15"/>
      <c r="O76" s="15"/>
      <c r="P76" s="15"/>
      <c r="Q76" s="15"/>
      <c r="R76" s="15"/>
      <c r="S76" s="15"/>
      <c r="T76" s="15"/>
      <c r="U76" s="15"/>
      <c r="V76" s="24">
        <f t="shared" si="9"/>
        <v>0</v>
      </c>
    </row>
    <row r="77" ht="15.75" customHeight="1">
      <c r="A77" s="7" t="s">
        <v>144</v>
      </c>
      <c r="V77" s="24">
        <f>SUM(V49:V76)</f>
        <v>38</v>
      </c>
    </row>
    <row r="78" ht="15.75" customHeight="1"/>
    <row r="79" ht="15.75" customHeight="1">
      <c r="A79" s="21" t="s">
        <v>148</v>
      </c>
      <c r="B79" s="22" t="s">
        <v>41</v>
      </c>
      <c r="C79" s="22" t="s">
        <v>42</v>
      </c>
      <c r="D79" s="22" t="s">
        <v>43</v>
      </c>
      <c r="E79" s="22" t="s">
        <v>44</v>
      </c>
      <c r="F79" s="22" t="s">
        <v>45</v>
      </c>
      <c r="G79" s="22" t="s">
        <v>46</v>
      </c>
      <c r="H79" s="22" t="s">
        <v>47</v>
      </c>
      <c r="I79" s="22" t="s">
        <v>48</v>
      </c>
      <c r="J79" s="22" t="s">
        <v>49</v>
      </c>
      <c r="K79" s="22" t="s">
        <v>50</v>
      </c>
      <c r="L79" s="22" t="s">
        <v>51</v>
      </c>
      <c r="M79" s="22" t="s">
        <v>52</v>
      </c>
      <c r="N79" s="22" t="s">
        <v>53</v>
      </c>
      <c r="O79" s="22" t="s">
        <v>54</v>
      </c>
      <c r="P79" s="22" t="s">
        <v>55</v>
      </c>
      <c r="Q79" s="22" t="s">
        <v>56</v>
      </c>
      <c r="R79" s="22" t="s">
        <v>57</v>
      </c>
      <c r="S79" s="22" t="s">
        <v>58</v>
      </c>
      <c r="T79" s="22" t="s">
        <v>59</v>
      </c>
      <c r="U79" s="22" t="s">
        <v>60</v>
      </c>
      <c r="V79" s="22" t="s">
        <v>149</v>
      </c>
    </row>
    <row r="80" ht="15.75" customHeight="1">
      <c r="A80" s="23" t="str">
        <f t="shared" ref="A80:A107" si="10">IF($A18="","",$A18)</f>
        <v>Ahmed</v>
      </c>
      <c r="B80" s="15"/>
      <c r="C80" s="15"/>
      <c r="D80" s="15"/>
      <c r="E80" s="15"/>
      <c r="F80" s="15"/>
      <c r="G80" s="15"/>
      <c r="H80" s="15"/>
      <c r="I80" s="15"/>
      <c r="J80" s="15"/>
      <c r="K80" s="15"/>
      <c r="L80" s="15"/>
      <c r="M80" s="15"/>
      <c r="N80" s="15"/>
      <c r="O80" s="15"/>
      <c r="P80" s="15"/>
      <c r="Q80" s="15"/>
      <c r="R80" s="15"/>
      <c r="S80" s="15"/>
      <c r="T80" s="15"/>
      <c r="U80" s="15"/>
      <c r="V80" s="24">
        <f t="shared" ref="V80:V107" si="11">SUMPRODUCT(B80:U80*($B$16:$U$16=""))</f>
        <v>0</v>
      </c>
    </row>
    <row r="81" ht="15.75" customHeight="1">
      <c r="A81" s="23" t="str">
        <f t="shared" si="10"/>
        <v>Alex Ruben</v>
      </c>
      <c r="B81" s="15"/>
      <c r="C81" s="15"/>
      <c r="D81" s="15"/>
      <c r="E81" s="15"/>
      <c r="F81" s="15"/>
      <c r="G81" s="15"/>
      <c r="H81" s="15"/>
      <c r="I81" s="15"/>
      <c r="J81" s="15"/>
      <c r="K81" s="15"/>
      <c r="L81" s="15"/>
      <c r="M81" s="15"/>
      <c r="N81" s="15"/>
      <c r="O81" s="15"/>
      <c r="P81" s="15"/>
      <c r="Q81" s="15"/>
      <c r="R81" s="15"/>
      <c r="S81" s="15"/>
      <c r="T81" s="15"/>
      <c r="U81" s="15"/>
      <c r="V81" s="24">
        <f t="shared" si="11"/>
        <v>0</v>
      </c>
    </row>
    <row r="82" ht="15.75" customHeight="1">
      <c r="A82" s="23" t="str">
        <f t="shared" si="10"/>
        <v>Andy Cowan</v>
      </c>
      <c r="B82" s="15"/>
      <c r="C82" s="15"/>
      <c r="D82" s="15"/>
      <c r="E82" s="15"/>
      <c r="F82" s="15"/>
      <c r="G82" s="15"/>
      <c r="H82" s="15"/>
      <c r="I82" s="15"/>
      <c r="J82" s="15"/>
      <c r="K82" s="15"/>
      <c r="L82" s="15"/>
      <c r="M82" s="15"/>
      <c r="N82" s="15"/>
      <c r="O82" s="15"/>
      <c r="P82" s="15"/>
      <c r="Q82" s="15"/>
      <c r="R82" s="15"/>
      <c r="S82" s="15"/>
      <c r="T82" s="15"/>
      <c r="U82" s="15"/>
      <c r="V82" s="24">
        <f t="shared" si="11"/>
        <v>0</v>
      </c>
    </row>
    <row r="83" ht="15.75" customHeight="1">
      <c r="A83" s="23" t="str">
        <f t="shared" si="10"/>
        <v>Ben Merrett</v>
      </c>
      <c r="B83" s="15"/>
      <c r="C83" s="15"/>
      <c r="D83" s="15"/>
      <c r="E83" s="15"/>
      <c r="F83" s="15"/>
      <c r="G83" s="15"/>
      <c r="H83" s="15"/>
      <c r="I83" s="15"/>
      <c r="J83" s="15"/>
      <c r="K83" s="15"/>
      <c r="L83" s="15"/>
      <c r="M83" s="15"/>
      <c r="N83" s="15"/>
      <c r="O83" s="15"/>
      <c r="P83" s="15"/>
      <c r="Q83" s="15"/>
      <c r="R83" s="15"/>
      <c r="S83" s="15"/>
      <c r="T83" s="15"/>
      <c r="U83" s="15"/>
      <c r="V83" s="24">
        <f t="shared" si="11"/>
        <v>0</v>
      </c>
    </row>
    <row r="84" ht="15.75" customHeight="1">
      <c r="A84" s="23" t="str">
        <f t="shared" si="10"/>
        <v>Callum McCarthy</v>
      </c>
      <c r="B84" s="15"/>
      <c r="C84" s="15"/>
      <c r="D84" s="15"/>
      <c r="E84" s="15"/>
      <c r="F84" s="15"/>
      <c r="G84" s="15"/>
      <c r="H84" s="15"/>
      <c r="I84" s="15"/>
      <c r="J84" s="15"/>
      <c r="K84" s="15"/>
      <c r="L84" s="15"/>
      <c r="M84" s="15"/>
      <c r="N84" s="15"/>
      <c r="O84" s="15"/>
      <c r="P84" s="15"/>
      <c r="Q84" s="15"/>
      <c r="R84" s="15"/>
      <c r="S84" s="15"/>
      <c r="T84" s="15"/>
      <c r="U84" s="15"/>
      <c r="V84" s="24">
        <f t="shared" si="11"/>
        <v>0</v>
      </c>
    </row>
    <row r="85" ht="15.75" customHeight="1">
      <c r="A85" s="23" t="str">
        <f t="shared" si="10"/>
        <v>Cecil Watson</v>
      </c>
      <c r="B85" s="15"/>
      <c r="C85" s="15"/>
      <c r="D85" s="15"/>
      <c r="E85" s="15"/>
      <c r="F85" s="15"/>
      <c r="G85" s="15"/>
      <c r="H85" s="15"/>
      <c r="I85" s="15"/>
      <c r="J85" s="15"/>
      <c r="K85" s="15"/>
      <c r="L85" s="15"/>
      <c r="M85" s="15"/>
      <c r="N85" s="15"/>
      <c r="O85" s="15"/>
      <c r="P85" s="15"/>
      <c r="Q85" s="15"/>
      <c r="R85" s="15"/>
      <c r="S85" s="15"/>
      <c r="T85" s="15"/>
      <c r="U85" s="15"/>
      <c r="V85" s="24">
        <f t="shared" si="11"/>
        <v>0</v>
      </c>
    </row>
    <row r="86" ht="15.75" customHeight="1">
      <c r="A86" s="23" t="str">
        <f t="shared" si="10"/>
        <v>Conall Templeman</v>
      </c>
      <c r="B86" s="15"/>
      <c r="C86" s="15"/>
      <c r="D86" s="15"/>
      <c r="E86" s="15"/>
      <c r="F86" s="15"/>
      <c r="G86" s="15"/>
      <c r="H86" s="15"/>
      <c r="I86" s="15"/>
      <c r="J86" s="15"/>
      <c r="K86" s="15"/>
      <c r="L86" s="15"/>
      <c r="M86" s="15"/>
      <c r="N86" s="15"/>
      <c r="O86" s="15"/>
      <c r="P86" s="15"/>
      <c r="Q86" s="15"/>
      <c r="R86" s="15"/>
      <c r="S86" s="15"/>
      <c r="T86" s="15"/>
      <c r="U86" s="15"/>
      <c r="V86" s="24">
        <f t="shared" si="11"/>
        <v>0</v>
      </c>
    </row>
    <row r="87" ht="15.75" customHeight="1">
      <c r="A87" s="23" t="str">
        <f t="shared" si="10"/>
        <v>Eddie Ringer</v>
      </c>
      <c r="B87" s="15"/>
      <c r="C87" s="15"/>
      <c r="D87" s="15"/>
      <c r="E87" s="15"/>
      <c r="F87" s="15"/>
      <c r="G87" s="15"/>
      <c r="H87" s="15"/>
      <c r="I87" s="15"/>
      <c r="J87" s="15"/>
      <c r="K87" s="15"/>
      <c r="L87" s="15"/>
      <c r="M87" s="15"/>
      <c r="N87" s="15"/>
      <c r="O87" s="15"/>
      <c r="P87" s="15"/>
      <c r="Q87" s="15"/>
      <c r="R87" s="15"/>
      <c r="S87" s="15"/>
      <c r="T87" s="15"/>
      <c r="U87" s="15"/>
      <c r="V87" s="24">
        <f t="shared" si="11"/>
        <v>0</v>
      </c>
    </row>
    <row r="88" ht="15.75" customHeight="1">
      <c r="A88" s="23" t="str">
        <f t="shared" si="10"/>
        <v>Finn Cawley</v>
      </c>
      <c r="B88" s="15"/>
      <c r="C88" s="15"/>
      <c r="D88" s="15"/>
      <c r="E88" s="15"/>
      <c r="F88" s="15"/>
      <c r="G88" s="15"/>
      <c r="H88" s="15"/>
      <c r="I88" s="15"/>
      <c r="J88" s="15"/>
      <c r="K88" s="15"/>
      <c r="L88" s="15"/>
      <c r="M88" s="15"/>
      <c r="N88" s="15"/>
      <c r="O88" s="15"/>
      <c r="P88" s="15"/>
      <c r="Q88" s="15"/>
      <c r="R88" s="15"/>
      <c r="S88" s="15"/>
      <c r="T88" s="15"/>
      <c r="U88" s="15"/>
      <c r="V88" s="24">
        <f t="shared" si="11"/>
        <v>0</v>
      </c>
    </row>
    <row r="89" ht="15.75" customHeight="1">
      <c r="A89" s="23" t="str">
        <f t="shared" si="10"/>
        <v>George Barbantan</v>
      </c>
      <c r="B89" s="15"/>
      <c r="C89" s="15"/>
      <c r="D89" s="15"/>
      <c r="E89" s="15"/>
      <c r="F89" s="15"/>
      <c r="G89" s="15"/>
      <c r="H89" s="15"/>
      <c r="I89" s="15"/>
      <c r="J89" s="15"/>
      <c r="K89" s="15"/>
      <c r="L89" s="15"/>
      <c r="M89" s="15"/>
      <c r="N89" s="15"/>
      <c r="O89" s="15"/>
      <c r="P89" s="15"/>
      <c r="Q89" s="15"/>
      <c r="R89" s="15"/>
      <c r="S89" s="15"/>
      <c r="T89" s="15"/>
      <c r="U89" s="15"/>
      <c r="V89" s="24">
        <f t="shared" si="11"/>
        <v>0</v>
      </c>
    </row>
    <row r="90" ht="15.75" customHeight="1">
      <c r="A90" s="23" t="str">
        <f t="shared" si="10"/>
        <v>Henry Linklater</v>
      </c>
      <c r="B90" s="15"/>
      <c r="C90" s="15"/>
      <c r="D90" s="15"/>
      <c r="E90" s="15"/>
      <c r="F90" s="15"/>
      <c r="G90" s="15"/>
      <c r="H90" s="15"/>
      <c r="I90" s="15"/>
      <c r="J90" s="15"/>
      <c r="K90" s="15"/>
      <c r="L90" s="15"/>
      <c r="M90" s="15"/>
      <c r="N90" s="15"/>
      <c r="O90" s="15"/>
      <c r="P90" s="15"/>
      <c r="Q90" s="15"/>
      <c r="R90" s="15"/>
      <c r="S90" s="15"/>
      <c r="T90" s="15"/>
      <c r="U90" s="15"/>
      <c r="V90" s="24">
        <f t="shared" si="11"/>
        <v>0</v>
      </c>
    </row>
    <row r="91" ht="15.75" customHeight="1">
      <c r="A91" s="23" t="str">
        <f t="shared" si="10"/>
        <v>Isaac Mond</v>
      </c>
      <c r="B91" s="15"/>
      <c r="C91" s="15"/>
      <c r="D91" s="15"/>
      <c r="E91" s="15"/>
      <c r="F91" s="15"/>
      <c r="G91" s="15"/>
      <c r="H91" s="15"/>
      <c r="I91" s="15"/>
      <c r="J91" s="15"/>
      <c r="K91" s="15"/>
      <c r="L91" s="15"/>
      <c r="M91" s="15"/>
      <c r="N91" s="15"/>
      <c r="O91" s="15"/>
      <c r="P91" s="15"/>
      <c r="Q91" s="15"/>
      <c r="R91" s="15"/>
      <c r="S91" s="15"/>
      <c r="T91" s="15"/>
      <c r="U91" s="15"/>
      <c r="V91" s="24">
        <f t="shared" si="11"/>
        <v>0</v>
      </c>
    </row>
    <row r="92" ht="15.75" customHeight="1">
      <c r="A92" s="23" t="str">
        <f t="shared" si="10"/>
        <v>Jake Harrison</v>
      </c>
      <c r="B92" s="15"/>
      <c r="C92" s="15"/>
      <c r="D92" s="15"/>
      <c r="E92" s="15"/>
      <c r="F92" s="15"/>
      <c r="G92" s="15"/>
      <c r="H92" s="15"/>
      <c r="I92" s="15"/>
      <c r="J92" s="15"/>
      <c r="K92" s="15"/>
      <c r="L92" s="15"/>
      <c r="M92" s="15"/>
      <c r="N92" s="15"/>
      <c r="O92" s="15"/>
      <c r="P92" s="15"/>
      <c r="Q92" s="15"/>
      <c r="R92" s="15"/>
      <c r="S92" s="15"/>
      <c r="T92" s="15"/>
      <c r="U92" s="15"/>
      <c r="V92" s="24">
        <f t="shared" si="11"/>
        <v>0</v>
      </c>
    </row>
    <row r="93" ht="15.75" customHeight="1">
      <c r="A93" s="23" t="str">
        <f t="shared" si="10"/>
        <v>Jake Ringer</v>
      </c>
      <c r="B93" s="15"/>
      <c r="C93" s="15"/>
      <c r="D93" s="15"/>
      <c r="E93" s="15"/>
      <c r="F93" s="15"/>
      <c r="G93" s="15"/>
      <c r="H93" s="15"/>
      <c r="I93" s="15"/>
      <c r="J93" s="15"/>
      <c r="K93" s="15"/>
      <c r="L93" s="15"/>
      <c r="M93" s="15"/>
      <c r="N93" s="15"/>
      <c r="O93" s="15"/>
      <c r="P93" s="15"/>
      <c r="Q93" s="15"/>
      <c r="R93" s="15"/>
      <c r="S93" s="15"/>
      <c r="T93" s="15"/>
      <c r="U93" s="15"/>
      <c r="V93" s="24">
        <f t="shared" si="11"/>
        <v>0</v>
      </c>
    </row>
    <row r="94" ht="15.75" customHeight="1">
      <c r="A94" s="23" t="str">
        <f t="shared" si="10"/>
        <v>Keshav Singh</v>
      </c>
      <c r="B94" s="15"/>
      <c r="C94" s="15"/>
      <c r="D94" s="15"/>
      <c r="E94" s="15"/>
      <c r="F94" s="15"/>
      <c r="G94" s="15"/>
      <c r="H94" s="15"/>
      <c r="I94" s="15"/>
      <c r="J94" s="15"/>
      <c r="K94" s="15"/>
      <c r="L94" s="15"/>
      <c r="M94" s="15"/>
      <c r="N94" s="15"/>
      <c r="O94" s="15"/>
      <c r="P94" s="15"/>
      <c r="Q94" s="15"/>
      <c r="R94" s="15"/>
      <c r="S94" s="15"/>
      <c r="T94" s="15"/>
      <c r="U94" s="15"/>
      <c r="V94" s="24">
        <f t="shared" si="11"/>
        <v>0</v>
      </c>
    </row>
    <row r="95" ht="15.75" customHeight="1">
      <c r="A95" s="23" t="str">
        <f t="shared" si="10"/>
        <v>Mark Pellowe</v>
      </c>
      <c r="B95" s="15"/>
      <c r="C95" s="15"/>
      <c r="D95" s="15"/>
      <c r="E95" s="15"/>
      <c r="F95" s="15"/>
      <c r="G95" s="15"/>
      <c r="H95" s="15"/>
      <c r="I95" s="15"/>
      <c r="J95" s="15"/>
      <c r="K95" s="15"/>
      <c r="L95" s="15"/>
      <c r="M95" s="15"/>
      <c r="N95" s="15"/>
      <c r="O95" s="15"/>
      <c r="P95" s="15"/>
      <c r="Q95" s="15"/>
      <c r="R95" s="15"/>
      <c r="S95" s="15"/>
      <c r="T95" s="15"/>
      <c r="U95" s="15"/>
      <c r="V95" s="24">
        <f t="shared" si="11"/>
        <v>0</v>
      </c>
    </row>
    <row r="96" ht="15.75" customHeight="1">
      <c r="A96" s="23" t="str">
        <f t="shared" si="10"/>
        <v>Max Cobain</v>
      </c>
      <c r="B96" s="15"/>
      <c r="C96" s="15"/>
      <c r="D96" s="15"/>
      <c r="E96" s="15"/>
      <c r="F96" s="15"/>
      <c r="G96" s="15"/>
      <c r="H96" s="15"/>
      <c r="I96" s="15"/>
      <c r="J96" s="15"/>
      <c r="K96" s="15"/>
      <c r="L96" s="15"/>
      <c r="M96" s="15"/>
      <c r="N96" s="15"/>
      <c r="O96" s="15"/>
      <c r="P96" s="15"/>
      <c r="Q96" s="15"/>
      <c r="R96" s="15"/>
      <c r="S96" s="15"/>
      <c r="T96" s="15"/>
      <c r="U96" s="15"/>
      <c r="V96" s="24">
        <f t="shared" si="11"/>
        <v>0</v>
      </c>
    </row>
    <row r="97" ht="15.75" customHeight="1">
      <c r="A97" s="23" t="str">
        <f t="shared" si="10"/>
        <v>Neeraj Radia</v>
      </c>
      <c r="B97" s="15"/>
      <c r="C97" s="15"/>
      <c r="D97" s="15"/>
      <c r="E97" s="15"/>
      <c r="F97" s="15"/>
      <c r="G97" s="15"/>
      <c r="H97" s="15"/>
      <c r="I97" s="15"/>
      <c r="J97" s="15"/>
      <c r="K97" s="15"/>
      <c r="L97" s="15"/>
      <c r="M97" s="15"/>
      <c r="N97" s="15"/>
      <c r="O97" s="15"/>
      <c r="P97" s="15"/>
      <c r="Q97" s="15"/>
      <c r="R97" s="15"/>
      <c r="S97" s="15"/>
      <c r="T97" s="15"/>
      <c r="U97" s="15"/>
      <c r="V97" s="24">
        <f t="shared" si="11"/>
        <v>0</v>
      </c>
    </row>
    <row r="98" ht="15.75" customHeight="1">
      <c r="A98" s="23" t="str">
        <f t="shared" si="10"/>
        <v>Phil Knott</v>
      </c>
      <c r="B98" s="15"/>
      <c r="C98" s="15">
        <v>2.0</v>
      </c>
      <c r="D98" s="15"/>
      <c r="E98" s="15"/>
      <c r="F98" s="15"/>
      <c r="G98" s="15"/>
      <c r="H98" s="15"/>
      <c r="I98" s="15"/>
      <c r="J98" s="15"/>
      <c r="K98" s="15"/>
      <c r="L98" s="15"/>
      <c r="M98" s="15"/>
      <c r="N98" s="15"/>
      <c r="O98" s="15"/>
      <c r="P98" s="15"/>
      <c r="Q98" s="15"/>
      <c r="R98" s="15"/>
      <c r="S98" s="15"/>
      <c r="T98" s="15"/>
      <c r="U98" s="15"/>
      <c r="V98" s="24">
        <f t="shared" si="11"/>
        <v>2</v>
      </c>
    </row>
    <row r="99" ht="15.75" customHeight="1">
      <c r="A99" s="23" t="str">
        <f t="shared" si="10"/>
        <v>Robin</v>
      </c>
      <c r="B99" s="15"/>
      <c r="C99" s="15"/>
      <c r="D99" s="15"/>
      <c r="E99" s="15"/>
      <c r="F99" s="15"/>
      <c r="G99" s="15"/>
      <c r="H99" s="15"/>
      <c r="I99" s="15"/>
      <c r="J99" s="15"/>
      <c r="K99" s="15"/>
      <c r="L99" s="15"/>
      <c r="M99" s="15"/>
      <c r="N99" s="15"/>
      <c r="O99" s="15"/>
      <c r="P99" s="15"/>
      <c r="Q99" s="15"/>
      <c r="R99" s="15"/>
      <c r="S99" s="15"/>
      <c r="T99" s="15"/>
      <c r="U99" s="15"/>
      <c r="V99" s="24">
        <f t="shared" si="11"/>
        <v>0</v>
      </c>
    </row>
    <row r="100" ht="15.75" customHeight="1">
      <c r="A100" s="23" t="str">
        <f t="shared" si="10"/>
        <v>Sam Holt</v>
      </c>
      <c r="B100" s="15"/>
      <c r="C100" s="15"/>
      <c r="D100" s="15"/>
      <c r="E100" s="15"/>
      <c r="F100" s="15"/>
      <c r="G100" s="15"/>
      <c r="H100" s="15"/>
      <c r="I100" s="15"/>
      <c r="J100" s="15"/>
      <c r="K100" s="15"/>
      <c r="L100" s="15"/>
      <c r="M100" s="15"/>
      <c r="N100" s="15"/>
      <c r="O100" s="15"/>
      <c r="P100" s="15"/>
      <c r="Q100" s="15"/>
      <c r="R100" s="15"/>
      <c r="S100" s="15"/>
      <c r="T100" s="15"/>
      <c r="U100" s="15"/>
      <c r="V100" s="24">
        <f t="shared" si="11"/>
        <v>0</v>
      </c>
    </row>
    <row r="101" ht="15.75" customHeight="1">
      <c r="A101" s="23" t="str">
        <f t="shared" si="10"/>
        <v>Seb Burgess</v>
      </c>
      <c r="B101" s="15"/>
      <c r="C101" s="15"/>
      <c r="D101" s="15"/>
      <c r="E101" s="15"/>
      <c r="F101" s="15"/>
      <c r="G101" s="15"/>
      <c r="H101" s="15"/>
      <c r="I101" s="15"/>
      <c r="J101" s="15"/>
      <c r="K101" s="15"/>
      <c r="L101" s="15"/>
      <c r="M101" s="15"/>
      <c r="N101" s="15"/>
      <c r="O101" s="15"/>
      <c r="P101" s="15"/>
      <c r="Q101" s="15"/>
      <c r="R101" s="15"/>
      <c r="S101" s="15"/>
      <c r="T101" s="15"/>
      <c r="U101" s="15"/>
      <c r="V101" s="24">
        <f t="shared" si="11"/>
        <v>0</v>
      </c>
    </row>
    <row r="102" ht="15.75" customHeight="1">
      <c r="A102" s="23" t="str">
        <f t="shared" si="10"/>
        <v/>
      </c>
      <c r="B102" s="15"/>
      <c r="C102" s="15"/>
      <c r="D102" s="15"/>
      <c r="E102" s="15"/>
      <c r="F102" s="15"/>
      <c r="G102" s="15"/>
      <c r="H102" s="15"/>
      <c r="I102" s="15"/>
      <c r="J102" s="15"/>
      <c r="K102" s="15"/>
      <c r="L102" s="15"/>
      <c r="M102" s="15"/>
      <c r="N102" s="15"/>
      <c r="O102" s="15"/>
      <c r="P102" s="15"/>
      <c r="Q102" s="15"/>
      <c r="R102" s="15"/>
      <c r="S102" s="15"/>
      <c r="T102" s="15"/>
      <c r="U102" s="15"/>
      <c r="V102" s="24">
        <f t="shared" si="11"/>
        <v>0</v>
      </c>
    </row>
    <row r="103" ht="15.75" customHeight="1">
      <c r="A103" s="23" t="str">
        <f t="shared" si="10"/>
        <v/>
      </c>
      <c r="B103" s="15"/>
      <c r="C103" s="15"/>
      <c r="D103" s="15"/>
      <c r="E103" s="15"/>
      <c r="F103" s="15"/>
      <c r="G103" s="15"/>
      <c r="H103" s="15"/>
      <c r="I103" s="15"/>
      <c r="J103" s="15"/>
      <c r="K103" s="15"/>
      <c r="L103" s="15"/>
      <c r="M103" s="15"/>
      <c r="N103" s="15"/>
      <c r="O103" s="15"/>
      <c r="P103" s="15"/>
      <c r="Q103" s="15"/>
      <c r="R103" s="15"/>
      <c r="S103" s="15"/>
      <c r="T103" s="15"/>
      <c r="U103" s="15"/>
      <c r="V103" s="24">
        <f t="shared" si="11"/>
        <v>0</v>
      </c>
    </row>
    <row r="104" ht="15.75" customHeight="1">
      <c r="A104" s="23" t="str">
        <f t="shared" si="10"/>
        <v/>
      </c>
      <c r="B104" s="15"/>
      <c r="C104" s="15"/>
      <c r="D104" s="15"/>
      <c r="E104" s="15"/>
      <c r="F104" s="15"/>
      <c r="G104" s="15"/>
      <c r="H104" s="15"/>
      <c r="I104" s="15"/>
      <c r="J104" s="15"/>
      <c r="K104" s="15"/>
      <c r="L104" s="15"/>
      <c r="M104" s="15"/>
      <c r="N104" s="15"/>
      <c r="O104" s="15"/>
      <c r="P104" s="15"/>
      <c r="Q104" s="15"/>
      <c r="R104" s="15"/>
      <c r="S104" s="15"/>
      <c r="T104" s="15"/>
      <c r="U104" s="15"/>
      <c r="V104" s="24">
        <f t="shared" si="11"/>
        <v>0</v>
      </c>
    </row>
    <row r="105" ht="15.75" customHeight="1">
      <c r="A105" s="23" t="str">
        <f t="shared" si="10"/>
        <v/>
      </c>
      <c r="B105" s="15"/>
      <c r="C105" s="15"/>
      <c r="D105" s="15"/>
      <c r="E105" s="15"/>
      <c r="F105" s="15"/>
      <c r="G105" s="15"/>
      <c r="H105" s="15"/>
      <c r="I105" s="15"/>
      <c r="J105" s="15"/>
      <c r="K105" s="15"/>
      <c r="L105" s="15"/>
      <c r="M105" s="15"/>
      <c r="N105" s="15"/>
      <c r="O105" s="15"/>
      <c r="P105" s="15"/>
      <c r="Q105" s="15"/>
      <c r="R105" s="15"/>
      <c r="S105" s="15"/>
      <c r="T105" s="15"/>
      <c r="U105" s="15"/>
      <c r="V105" s="24">
        <f t="shared" si="11"/>
        <v>0</v>
      </c>
    </row>
    <row r="106" ht="15.75" customHeight="1">
      <c r="A106" s="23" t="str">
        <f t="shared" si="10"/>
        <v/>
      </c>
      <c r="B106" s="15"/>
      <c r="C106" s="15"/>
      <c r="D106" s="15"/>
      <c r="E106" s="15"/>
      <c r="F106" s="15"/>
      <c r="G106" s="15"/>
      <c r="H106" s="15"/>
      <c r="I106" s="15"/>
      <c r="J106" s="15"/>
      <c r="K106" s="15"/>
      <c r="L106" s="15"/>
      <c r="M106" s="15"/>
      <c r="N106" s="15"/>
      <c r="O106" s="15"/>
      <c r="P106" s="15"/>
      <c r="Q106" s="15"/>
      <c r="R106" s="15"/>
      <c r="S106" s="15"/>
      <c r="T106" s="15"/>
      <c r="U106" s="15"/>
      <c r="V106" s="24">
        <f t="shared" si="11"/>
        <v>0</v>
      </c>
    </row>
    <row r="107" ht="15.75" customHeight="1">
      <c r="A107" s="23" t="str">
        <f t="shared" si="10"/>
        <v/>
      </c>
      <c r="B107" s="15"/>
      <c r="C107" s="15"/>
      <c r="D107" s="15"/>
      <c r="E107" s="15"/>
      <c r="F107" s="15"/>
      <c r="G107" s="15"/>
      <c r="H107" s="15"/>
      <c r="I107" s="15"/>
      <c r="J107" s="15"/>
      <c r="K107" s="15"/>
      <c r="L107" s="15"/>
      <c r="M107" s="15"/>
      <c r="N107" s="15"/>
      <c r="O107" s="15"/>
      <c r="P107" s="15"/>
      <c r="Q107" s="15"/>
      <c r="R107" s="15"/>
      <c r="S107" s="15"/>
      <c r="T107" s="15"/>
      <c r="U107" s="15"/>
      <c r="V107" s="24">
        <f t="shared" si="11"/>
        <v>0</v>
      </c>
    </row>
    <row r="108" ht="15.75" customHeight="1">
      <c r="A108" s="7" t="s">
        <v>144</v>
      </c>
      <c r="V108" s="24">
        <f>SUM(V80:V107)</f>
        <v>2</v>
      </c>
    </row>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6.0"/>
    <col customWidth="1" min="2" max="25" width="12.0"/>
    <col customWidth="1" min="26" max="26" width="8.71"/>
  </cols>
  <sheetData>
    <row r="1">
      <c r="A1" s="4" t="s">
        <v>158</v>
      </c>
      <c r="B1" s="5"/>
      <c r="C1" s="5"/>
      <c r="D1" s="5"/>
      <c r="E1" s="5"/>
      <c r="F1" s="5"/>
      <c r="G1" s="5"/>
      <c r="H1" s="5"/>
      <c r="I1" s="5"/>
      <c r="J1" s="5"/>
      <c r="K1" s="5"/>
      <c r="L1" s="5"/>
      <c r="M1" s="5"/>
      <c r="N1" s="5"/>
      <c r="O1" s="5"/>
      <c r="P1" s="5"/>
      <c r="Q1" s="5"/>
      <c r="R1" s="5"/>
      <c r="S1" s="5"/>
      <c r="T1" s="5"/>
      <c r="U1" s="5"/>
      <c r="V1" s="5"/>
      <c r="W1" s="5"/>
      <c r="X1" s="5"/>
      <c r="Y1" s="5"/>
    </row>
    <row r="2">
      <c r="A2" s="6" t="s">
        <v>40</v>
      </c>
      <c r="B2" s="6" t="s">
        <v>41</v>
      </c>
      <c r="C2" s="6" t="s">
        <v>42</v>
      </c>
      <c r="D2" s="6" t="s">
        <v>43</v>
      </c>
      <c r="E2" s="6" t="s">
        <v>44</v>
      </c>
      <c r="F2" s="6" t="s">
        <v>45</v>
      </c>
      <c r="G2" s="6" t="s">
        <v>46</v>
      </c>
      <c r="H2" s="6" t="s">
        <v>47</v>
      </c>
      <c r="I2" s="6" t="s">
        <v>48</v>
      </c>
      <c r="J2" s="6" t="s">
        <v>49</v>
      </c>
      <c r="K2" s="6" t="s">
        <v>50</v>
      </c>
      <c r="L2" s="6" t="s">
        <v>51</v>
      </c>
      <c r="M2" s="6" t="s">
        <v>52</v>
      </c>
      <c r="N2" s="6" t="s">
        <v>53</v>
      </c>
      <c r="O2" s="6" t="s">
        <v>54</v>
      </c>
      <c r="P2" s="6" t="s">
        <v>55</v>
      </c>
      <c r="Q2" s="6" t="s">
        <v>56</v>
      </c>
      <c r="R2" s="6" t="s">
        <v>57</v>
      </c>
      <c r="S2" s="6" t="s">
        <v>58</v>
      </c>
      <c r="T2" s="6" t="s">
        <v>59</v>
      </c>
      <c r="U2" s="6" t="s">
        <v>60</v>
      </c>
      <c r="X2" s="7" t="s">
        <v>61</v>
      </c>
    </row>
    <row r="3">
      <c r="A3" s="8" t="s">
        <v>62</v>
      </c>
      <c r="B3" s="9">
        <v>46163.0</v>
      </c>
      <c r="C3" s="9">
        <v>46170.0</v>
      </c>
      <c r="D3" s="9">
        <v>46170.0</v>
      </c>
      <c r="E3" s="9">
        <v>46177.0</v>
      </c>
      <c r="F3" s="9">
        <v>46184.0</v>
      </c>
      <c r="G3" s="9">
        <v>46191.0</v>
      </c>
      <c r="H3" s="9">
        <v>46200.0</v>
      </c>
      <c r="I3" s="9">
        <v>46205.0</v>
      </c>
      <c r="J3" s="9">
        <v>46219.0</v>
      </c>
      <c r="K3" s="9">
        <v>46227.0</v>
      </c>
      <c r="L3" s="9">
        <v>46227.0</v>
      </c>
      <c r="M3" s="9">
        <v>46233.0</v>
      </c>
      <c r="N3" s="9">
        <v>46240.0</v>
      </c>
      <c r="O3" s="9">
        <v>46247.0</v>
      </c>
      <c r="P3" s="9">
        <v>46255.0</v>
      </c>
      <c r="Q3" s="9"/>
      <c r="R3" s="9"/>
      <c r="S3" s="9"/>
      <c r="T3" s="9"/>
      <c r="U3" s="9"/>
      <c r="X3" s="7" t="s">
        <v>63</v>
      </c>
      <c r="Y3" s="10">
        <f>Y4+Y5+Y6</f>
        <v>11</v>
      </c>
    </row>
    <row r="4">
      <c r="A4" s="8" t="s">
        <v>64</v>
      </c>
      <c r="B4" s="11"/>
      <c r="C4" s="11"/>
      <c r="D4" s="11"/>
      <c r="E4" s="11"/>
      <c r="F4" s="11"/>
      <c r="G4" s="11"/>
      <c r="H4" s="11"/>
      <c r="I4" s="11"/>
      <c r="J4" s="11"/>
      <c r="K4" s="11"/>
      <c r="L4" s="11"/>
      <c r="M4" s="11"/>
      <c r="N4" s="11"/>
      <c r="O4" s="11"/>
      <c r="P4" s="11"/>
      <c r="Q4" s="11"/>
      <c r="R4" s="11"/>
      <c r="S4" s="11"/>
      <c r="T4" s="11"/>
      <c r="U4" s="11"/>
      <c r="X4" s="7" t="s">
        <v>65</v>
      </c>
      <c r="Y4" s="10">
        <f>SUMPRODUCT(($B$9:$U$9="W")*($B$16:$U$16=""))</f>
        <v>3</v>
      </c>
    </row>
    <row r="5" ht="27.75" customHeight="1">
      <c r="A5" s="8" t="s">
        <v>66</v>
      </c>
      <c r="B5" s="12" t="s">
        <v>85</v>
      </c>
      <c r="C5" s="12" t="s">
        <v>166</v>
      </c>
      <c r="D5" s="12" t="s">
        <v>167</v>
      </c>
      <c r="E5" s="12" t="s">
        <v>168</v>
      </c>
      <c r="F5" s="12" t="s">
        <v>89</v>
      </c>
      <c r="G5" s="12" t="s">
        <v>162</v>
      </c>
      <c r="H5" s="12" t="s">
        <v>90</v>
      </c>
      <c r="I5" s="12" t="s">
        <v>169</v>
      </c>
      <c r="J5" s="12" t="s">
        <v>125</v>
      </c>
      <c r="K5" s="12" t="s">
        <v>84</v>
      </c>
      <c r="L5" s="12" t="s">
        <v>162</v>
      </c>
      <c r="M5" s="12" t="s">
        <v>90</v>
      </c>
      <c r="N5" s="12" t="s">
        <v>89</v>
      </c>
      <c r="O5" s="12" t="s">
        <v>88</v>
      </c>
      <c r="P5" s="12" t="s">
        <v>170</v>
      </c>
      <c r="Q5" s="12"/>
      <c r="R5" s="12"/>
      <c r="S5" s="12"/>
      <c r="T5" s="12"/>
      <c r="U5" s="12"/>
      <c r="X5" s="7" t="s">
        <v>75</v>
      </c>
      <c r="Y5" s="10">
        <f>SUMPRODUCT(($B$9:$U$9="D")*($B$16:$U$16=""))</f>
        <v>0</v>
      </c>
    </row>
    <row r="6">
      <c r="A6" s="8" t="s">
        <v>79</v>
      </c>
      <c r="B6" s="13">
        <v>3.0</v>
      </c>
      <c r="C6" s="13">
        <v>8.0</v>
      </c>
      <c r="D6" s="13">
        <v>7.0</v>
      </c>
      <c r="E6" s="13">
        <v>4.0</v>
      </c>
      <c r="F6" s="13">
        <v>2.0</v>
      </c>
      <c r="G6" s="13">
        <v>5.0</v>
      </c>
      <c r="H6" s="13">
        <v>1.0</v>
      </c>
      <c r="I6" s="13">
        <v>2.0</v>
      </c>
      <c r="J6" s="13">
        <v>0.0</v>
      </c>
      <c r="K6" s="13">
        <v>8.0</v>
      </c>
      <c r="L6" s="13">
        <v>6.0</v>
      </c>
      <c r="M6" s="13">
        <v>4.0</v>
      </c>
      <c r="N6" s="13">
        <v>3.0</v>
      </c>
      <c r="O6" s="13">
        <v>4.0</v>
      </c>
      <c r="P6" s="13">
        <v>6.0</v>
      </c>
      <c r="Q6" s="13"/>
      <c r="R6" s="13"/>
      <c r="S6" s="13"/>
      <c r="T6" s="13"/>
      <c r="U6" s="13"/>
      <c r="X6" s="7" t="s">
        <v>80</v>
      </c>
      <c r="Y6" s="10">
        <f>SUMPRODUCT(($B$9:$U$9="L")*($B$16:$U$16=""))</f>
        <v>8</v>
      </c>
    </row>
    <row r="7">
      <c r="A7" s="8" t="s">
        <v>81</v>
      </c>
      <c r="B7" s="13">
        <v>6.0</v>
      </c>
      <c r="C7" s="13">
        <v>0.0</v>
      </c>
      <c r="D7" s="13">
        <v>5.0</v>
      </c>
      <c r="E7" s="13">
        <v>2.0</v>
      </c>
      <c r="F7" s="13">
        <v>11.0</v>
      </c>
      <c r="G7" s="13">
        <v>4.0</v>
      </c>
      <c r="H7" s="13">
        <v>11.0</v>
      </c>
      <c r="I7" s="13">
        <v>6.0</v>
      </c>
      <c r="J7" s="13">
        <v>8.0</v>
      </c>
      <c r="K7" s="13">
        <v>0.0</v>
      </c>
      <c r="L7" s="13">
        <v>10.0</v>
      </c>
      <c r="M7" s="13">
        <v>6.0</v>
      </c>
      <c r="N7" s="13">
        <v>9.0</v>
      </c>
      <c r="O7" s="13">
        <v>8.0</v>
      </c>
      <c r="P7" s="13">
        <v>1.0</v>
      </c>
      <c r="Q7" s="13"/>
      <c r="R7" s="13"/>
      <c r="S7" s="13"/>
      <c r="T7" s="13"/>
      <c r="U7" s="13"/>
      <c r="X7" s="7" t="s">
        <v>82</v>
      </c>
      <c r="Y7" s="10">
        <f>SUMPRODUCT($B$6:$U$6*($B$16:$U$16=""))</f>
        <v>40</v>
      </c>
    </row>
    <row r="8">
      <c r="A8" s="8" t="s">
        <v>83</v>
      </c>
      <c r="B8" s="14" t="str">
        <f t="shared" ref="B8:U8" si="1">IF(COUNT(B6:B7)&lt;2,"",B6&amp;"-"&amp;B7)</f>
        <v>3-6</v>
      </c>
      <c r="C8" s="14" t="str">
        <f t="shared" si="1"/>
        <v>8-0</v>
      </c>
      <c r="D8" s="14" t="str">
        <f t="shared" si="1"/>
        <v>7-5</v>
      </c>
      <c r="E8" s="14" t="str">
        <f t="shared" si="1"/>
        <v>4-2</v>
      </c>
      <c r="F8" s="14" t="str">
        <f t="shared" si="1"/>
        <v>2-11</v>
      </c>
      <c r="G8" s="14" t="str">
        <f t="shared" si="1"/>
        <v>5-4</v>
      </c>
      <c r="H8" s="14" t="str">
        <f t="shared" si="1"/>
        <v>1-11</v>
      </c>
      <c r="I8" s="14" t="str">
        <f t="shared" si="1"/>
        <v>2-6</v>
      </c>
      <c r="J8" s="14" t="str">
        <f t="shared" si="1"/>
        <v>0-8</v>
      </c>
      <c r="K8" s="14" t="str">
        <f t="shared" si="1"/>
        <v>8-0</v>
      </c>
      <c r="L8" s="14" t="str">
        <f t="shared" si="1"/>
        <v>6-10</v>
      </c>
      <c r="M8" s="14" t="str">
        <f t="shared" si="1"/>
        <v>4-6</v>
      </c>
      <c r="N8" s="14" t="str">
        <f t="shared" si="1"/>
        <v>3-9</v>
      </c>
      <c r="O8" s="14" t="str">
        <f t="shared" si="1"/>
        <v>4-8</v>
      </c>
      <c r="P8" s="14" t="str">
        <f t="shared" si="1"/>
        <v>6-1</v>
      </c>
      <c r="Q8" s="14" t="str">
        <f t="shared" si="1"/>
        <v/>
      </c>
      <c r="R8" s="14" t="str">
        <f t="shared" si="1"/>
        <v/>
      </c>
      <c r="S8" s="14" t="str">
        <f t="shared" si="1"/>
        <v/>
      </c>
      <c r="T8" s="14" t="str">
        <f t="shared" si="1"/>
        <v/>
      </c>
      <c r="U8" s="14" t="str">
        <f t="shared" si="1"/>
        <v/>
      </c>
      <c r="X8" s="7" t="s">
        <v>94</v>
      </c>
      <c r="Y8" s="10">
        <f>SUMPRODUCT($B$7:$U$7*($B$16:$U$16=""))</f>
        <v>74</v>
      </c>
    </row>
    <row r="9">
      <c r="A9" s="8" t="s">
        <v>95</v>
      </c>
      <c r="B9" s="14" t="str">
        <f t="shared" ref="B9:U9" si="2">IF(COUNT(B6:B7)&lt;2,"",IF(B6&gt;B7,"W",IF(B6&lt;B7,"L","D")))</f>
        <v>L</v>
      </c>
      <c r="C9" s="14" t="str">
        <f t="shared" si="2"/>
        <v>W</v>
      </c>
      <c r="D9" s="14" t="str">
        <f t="shared" si="2"/>
        <v>W</v>
      </c>
      <c r="E9" s="14" t="str">
        <f t="shared" si="2"/>
        <v>W</v>
      </c>
      <c r="F9" s="14" t="str">
        <f t="shared" si="2"/>
        <v>L</v>
      </c>
      <c r="G9" s="14" t="str">
        <f t="shared" si="2"/>
        <v>W</v>
      </c>
      <c r="H9" s="14" t="str">
        <f t="shared" si="2"/>
        <v>L</v>
      </c>
      <c r="I9" s="14" t="str">
        <f t="shared" si="2"/>
        <v>L</v>
      </c>
      <c r="J9" s="14" t="str">
        <f t="shared" si="2"/>
        <v>L</v>
      </c>
      <c r="K9" s="14" t="str">
        <f t="shared" si="2"/>
        <v>W</v>
      </c>
      <c r="L9" s="14" t="str">
        <f t="shared" si="2"/>
        <v>L</v>
      </c>
      <c r="M9" s="14" t="str">
        <f t="shared" si="2"/>
        <v>L</v>
      </c>
      <c r="N9" s="14" t="str">
        <f t="shared" si="2"/>
        <v>L</v>
      </c>
      <c r="O9" s="14" t="str">
        <f t="shared" si="2"/>
        <v>L</v>
      </c>
      <c r="P9" s="14" t="str">
        <f t="shared" si="2"/>
        <v>W</v>
      </c>
      <c r="Q9" s="14" t="str">
        <f t="shared" si="2"/>
        <v/>
      </c>
      <c r="R9" s="14" t="str">
        <f t="shared" si="2"/>
        <v/>
      </c>
      <c r="S9" s="14" t="str">
        <f t="shared" si="2"/>
        <v/>
      </c>
      <c r="T9" s="14" t="str">
        <f t="shared" si="2"/>
        <v/>
      </c>
      <c r="U9" s="14" t="str">
        <f t="shared" si="2"/>
        <v/>
      </c>
      <c r="X9" s="7" t="s">
        <v>96</v>
      </c>
      <c r="Y9" s="10" t="str">
        <f t="array" ref="Y9">IF(MAX($V$49:$V$76)=0,"—",INDEX($A$49:$A$76,MATCH(MAX($V$49:$V$76),$V$49:$V$76,0))&amp;" ("&amp;MAX($V$49:$V$76)&amp;")")</f>
        <v>Ahmed (5)</v>
      </c>
    </row>
    <row r="10">
      <c r="A10" s="8" t="s">
        <v>97</v>
      </c>
      <c r="B10" s="15"/>
      <c r="C10" s="15"/>
      <c r="D10" s="15"/>
      <c r="E10" s="15"/>
      <c r="F10" s="15"/>
      <c r="G10" s="15"/>
      <c r="H10" s="15"/>
      <c r="I10" s="15"/>
      <c r="J10" s="15"/>
      <c r="K10" s="15"/>
      <c r="L10" s="15"/>
      <c r="M10" s="15"/>
      <c r="N10" s="15"/>
      <c r="O10" s="15"/>
      <c r="P10" s="15"/>
      <c r="Q10" s="15"/>
      <c r="R10" s="15"/>
      <c r="S10" s="15"/>
      <c r="T10" s="15"/>
      <c r="U10" s="15"/>
      <c r="X10" s="7" t="s">
        <v>106</v>
      </c>
      <c r="Y10" s="10" t="str">
        <f t="array" ref="Y10">IF(MAX($V$18:$V$45)=0,"—",INDEX($A$18:$A$45,MATCH(MAX($V$18:$V$45),$V$18:$V$45,0))&amp;" ("&amp;MAX($V$18:$V$45)&amp;")")</f>
        <v>Mark Pellowe (11)</v>
      </c>
    </row>
    <row r="11">
      <c r="A11" s="8" t="s">
        <v>107</v>
      </c>
      <c r="B11" s="15"/>
      <c r="C11" s="15"/>
      <c r="D11" s="15"/>
      <c r="E11" s="15"/>
      <c r="F11" s="15"/>
      <c r="G11" s="15"/>
      <c r="H11" s="15"/>
      <c r="I11" s="15"/>
      <c r="J11" s="15"/>
      <c r="K11" s="15"/>
      <c r="L11" s="15"/>
      <c r="M11" s="15"/>
      <c r="N11" s="15"/>
      <c r="O11" s="15"/>
      <c r="P11" s="15"/>
      <c r="Q11" s="15"/>
      <c r="R11" s="15"/>
      <c r="S11" s="15"/>
      <c r="T11" s="15"/>
      <c r="U11" s="15"/>
      <c r="X11" s="7" t="s">
        <v>108</v>
      </c>
      <c r="Y11" s="16">
        <f>SUM($B$13:$U$13)</f>
        <v>0</v>
      </c>
    </row>
    <row r="12" ht="25.5" customHeight="1">
      <c r="A12" s="8" t="s">
        <v>112</v>
      </c>
      <c r="B12" s="17"/>
      <c r="C12" s="17" t="s">
        <v>84</v>
      </c>
      <c r="D12" s="17" t="s">
        <v>171</v>
      </c>
      <c r="E12" s="17"/>
      <c r="F12" s="17"/>
      <c r="G12" s="17"/>
      <c r="H12" s="17"/>
      <c r="I12" s="17"/>
      <c r="J12" s="17" t="s">
        <v>84</v>
      </c>
      <c r="K12" s="17" t="s">
        <v>84</v>
      </c>
      <c r="L12" s="17"/>
      <c r="M12" s="17"/>
      <c r="N12" s="17"/>
      <c r="O12" s="17"/>
      <c r="P12" s="17"/>
      <c r="Q12" s="17"/>
      <c r="R12" s="17"/>
      <c r="S12" s="17"/>
      <c r="T12" s="17"/>
      <c r="U12" s="17"/>
      <c r="X12" s="7" t="s">
        <v>119</v>
      </c>
      <c r="Y12" s="18"/>
    </row>
    <row r="13">
      <c r="A13" s="8" t="s">
        <v>123</v>
      </c>
      <c r="B13" s="19"/>
      <c r="C13" s="19"/>
      <c r="D13" s="19"/>
      <c r="E13" s="19"/>
      <c r="F13" s="19"/>
      <c r="G13" s="19"/>
      <c r="H13" s="19"/>
      <c r="I13" s="19"/>
      <c r="J13" s="19"/>
      <c r="K13" s="19"/>
      <c r="L13" s="19"/>
      <c r="M13" s="19"/>
      <c r="N13" s="19"/>
      <c r="O13" s="19"/>
      <c r="P13" s="19"/>
      <c r="Q13" s="19"/>
      <c r="R13" s="19"/>
      <c r="S13" s="19"/>
      <c r="T13" s="19"/>
      <c r="U13" s="19"/>
    </row>
    <row r="14">
      <c r="A14" s="8" t="s">
        <v>126</v>
      </c>
      <c r="B14" s="14">
        <f t="shared" ref="B14:U14" si="3">COUNT(B$18:B$45)</f>
        <v>7</v>
      </c>
      <c r="C14" s="14">
        <f t="shared" si="3"/>
        <v>0</v>
      </c>
      <c r="D14" s="14">
        <f t="shared" si="3"/>
        <v>7</v>
      </c>
      <c r="E14" s="14">
        <f t="shared" si="3"/>
        <v>6</v>
      </c>
      <c r="F14" s="14">
        <f t="shared" si="3"/>
        <v>6</v>
      </c>
      <c r="G14" s="14">
        <f t="shared" si="3"/>
        <v>7</v>
      </c>
      <c r="H14" s="14">
        <f t="shared" si="3"/>
        <v>5</v>
      </c>
      <c r="I14" s="14">
        <f t="shared" si="3"/>
        <v>7</v>
      </c>
      <c r="J14" s="14">
        <f t="shared" si="3"/>
        <v>0</v>
      </c>
      <c r="K14" s="14">
        <f t="shared" si="3"/>
        <v>0</v>
      </c>
      <c r="L14" s="14">
        <f t="shared" si="3"/>
        <v>6</v>
      </c>
      <c r="M14" s="14">
        <f t="shared" si="3"/>
        <v>5</v>
      </c>
      <c r="N14" s="14">
        <f t="shared" si="3"/>
        <v>4</v>
      </c>
      <c r="O14" s="14">
        <f t="shared" si="3"/>
        <v>7</v>
      </c>
      <c r="P14" s="14">
        <f t="shared" si="3"/>
        <v>2</v>
      </c>
      <c r="Q14" s="14">
        <f t="shared" si="3"/>
        <v>0</v>
      </c>
      <c r="R14" s="14">
        <f t="shared" si="3"/>
        <v>0</v>
      </c>
      <c r="S14" s="14">
        <f t="shared" si="3"/>
        <v>0</v>
      </c>
      <c r="T14" s="14">
        <f t="shared" si="3"/>
        <v>0</v>
      </c>
      <c r="U14" s="14">
        <f t="shared" si="3"/>
        <v>0</v>
      </c>
    </row>
    <row r="15">
      <c r="A15" s="8" t="s">
        <v>127</v>
      </c>
      <c r="B15" s="20">
        <f t="shared" ref="B15:U15" si="4">IF(B$14=0,0,N(B$13)/B$14)</f>
        <v>0</v>
      </c>
      <c r="C15" s="20">
        <f t="shared" si="4"/>
        <v>0</v>
      </c>
      <c r="D15" s="20">
        <f t="shared" si="4"/>
        <v>0</v>
      </c>
      <c r="E15" s="20">
        <f t="shared" si="4"/>
        <v>0</v>
      </c>
      <c r="F15" s="20">
        <f t="shared" si="4"/>
        <v>0</v>
      </c>
      <c r="G15" s="20">
        <f t="shared" si="4"/>
        <v>0</v>
      </c>
      <c r="H15" s="20">
        <f t="shared" si="4"/>
        <v>0</v>
      </c>
      <c r="I15" s="20">
        <f t="shared" si="4"/>
        <v>0</v>
      </c>
      <c r="J15" s="20">
        <f t="shared" si="4"/>
        <v>0</v>
      </c>
      <c r="K15" s="20">
        <f t="shared" si="4"/>
        <v>0</v>
      </c>
      <c r="L15" s="20">
        <f t="shared" si="4"/>
        <v>0</v>
      </c>
      <c r="M15" s="20">
        <f t="shared" si="4"/>
        <v>0</v>
      </c>
      <c r="N15" s="20">
        <f t="shared" si="4"/>
        <v>0</v>
      </c>
      <c r="O15" s="20">
        <f t="shared" si="4"/>
        <v>0</v>
      </c>
      <c r="P15" s="20">
        <f t="shared" si="4"/>
        <v>0</v>
      </c>
      <c r="Q15" s="20">
        <f t="shared" si="4"/>
        <v>0</v>
      </c>
      <c r="R15" s="20">
        <f t="shared" si="4"/>
        <v>0</v>
      </c>
      <c r="S15" s="20">
        <f t="shared" si="4"/>
        <v>0</v>
      </c>
      <c r="T15" s="20">
        <f t="shared" si="4"/>
        <v>0</v>
      </c>
      <c r="U15" s="20">
        <f t="shared" si="4"/>
        <v>0</v>
      </c>
    </row>
    <row r="16">
      <c r="A16" s="8" t="s">
        <v>128</v>
      </c>
      <c r="B16" s="13"/>
      <c r="C16" s="13" t="s">
        <v>84</v>
      </c>
      <c r="D16" s="13" t="s">
        <v>171</v>
      </c>
      <c r="E16" s="13"/>
      <c r="F16" s="13"/>
      <c r="G16" s="13"/>
      <c r="H16" s="13"/>
      <c r="I16" s="13"/>
      <c r="J16" s="13" t="s">
        <v>84</v>
      </c>
      <c r="K16" s="13" t="s">
        <v>84</v>
      </c>
      <c r="L16" s="13"/>
      <c r="M16" s="13"/>
      <c r="N16" s="13"/>
      <c r="O16" s="13"/>
      <c r="P16" s="13"/>
      <c r="Q16" s="13"/>
      <c r="R16" s="13"/>
      <c r="S16" s="13"/>
      <c r="T16" s="13"/>
      <c r="U16" s="13"/>
    </row>
    <row r="17">
      <c r="A17" s="21" t="s">
        <v>129</v>
      </c>
      <c r="B17" s="22" t="s">
        <v>41</v>
      </c>
      <c r="C17" s="22" t="s">
        <v>42</v>
      </c>
      <c r="D17" s="22" t="s">
        <v>43</v>
      </c>
      <c r="E17" s="22" t="s">
        <v>44</v>
      </c>
      <c r="F17" s="22" t="s">
        <v>45</v>
      </c>
      <c r="G17" s="22" t="s">
        <v>46</v>
      </c>
      <c r="H17" s="22" t="s">
        <v>47</v>
      </c>
      <c r="I17" s="22" t="s">
        <v>48</v>
      </c>
      <c r="J17" s="22" t="s">
        <v>49</v>
      </c>
      <c r="K17" s="22" t="s">
        <v>50</v>
      </c>
      <c r="L17" s="22" t="s">
        <v>51</v>
      </c>
      <c r="M17" s="22" t="s">
        <v>52</v>
      </c>
      <c r="N17" s="22" t="s">
        <v>53</v>
      </c>
      <c r="O17" s="22" t="s">
        <v>54</v>
      </c>
      <c r="P17" s="22" t="s">
        <v>55</v>
      </c>
      <c r="Q17" s="22" t="s">
        <v>56</v>
      </c>
      <c r="R17" s="22" t="s">
        <v>57</v>
      </c>
      <c r="S17" s="22" t="s">
        <v>58</v>
      </c>
      <c r="T17" s="22" t="s">
        <v>59</v>
      </c>
      <c r="U17" s="22" t="s">
        <v>60</v>
      </c>
      <c r="V17" s="22" t="s">
        <v>130</v>
      </c>
      <c r="W17" s="22" t="s">
        <v>131</v>
      </c>
    </row>
    <row r="18">
      <c r="A18" s="23" t="s">
        <v>132</v>
      </c>
      <c r="B18" s="15"/>
      <c r="C18" s="15"/>
      <c r="D18" s="15"/>
      <c r="E18" s="15"/>
      <c r="F18" s="15"/>
      <c r="G18" s="15"/>
      <c r="H18" s="15">
        <v>1.0</v>
      </c>
      <c r="I18" s="15"/>
      <c r="J18" s="15"/>
      <c r="K18" s="15"/>
      <c r="L18" s="15"/>
      <c r="M18" s="15">
        <v>1.0</v>
      </c>
      <c r="N18" s="15"/>
      <c r="O18" s="15">
        <v>1.0</v>
      </c>
      <c r="P18" s="15"/>
      <c r="Q18" s="15"/>
      <c r="R18" s="15"/>
      <c r="S18" s="15"/>
      <c r="T18" s="15"/>
      <c r="U18" s="15"/>
      <c r="V18" s="24">
        <f t="shared" ref="V18:V45" si="5">SUMPRODUCT(B18:U18*($B$16:$U$16=""))</f>
        <v>3</v>
      </c>
      <c r="W18" s="20">
        <f t="shared" ref="W18:W45" si="6">SUMPRODUCT($B18:$U18,$B$15:$U$15)</f>
        <v>0</v>
      </c>
    </row>
    <row r="19">
      <c r="A19" s="23" t="s">
        <v>133</v>
      </c>
      <c r="B19" s="15"/>
      <c r="C19" s="15"/>
      <c r="D19" s="15"/>
      <c r="E19" s="15"/>
      <c r="F19" s="15"/>
      <c r="G19" s="15"/>
      <c r="H19" s="15"/>
      <c r="I19" s="15"/>
      <c r="J19" s="15"/>
      <c r="K19" s="15"/>
      <c r="L19" s="15"/>
      <c r="M19" s="15"/>
      <c r="N19" s="15"/>
      <c r="O19" s="15"/>
      <c r="P19" s="15"/>
      <c r="Q19" s="15"/>
      <c r="R19" s="15"/>
      <c r="S19" s="15"/>
      <c r="T19" s="15"/>
      <c r="U19" s="15"/>
      <c r="V19" s="24">
        <f t="shared" si="5"/>
        <v>0</v>
      </c>
      <c r="W19" s="20">
        <f t="shared" si="6"/>
        <v>0</v>
      </c>
    </row>
    <row r="20">
      <c r="A20" s="23" t="s">
        <v>103</v>
      </c>
      <c r="B20" s="15"/>
      <c r="C20" s="15"/>
      <c r="D20" s="15"/>
      <c r="E20" s="15"/>
      <c r="F20" s="15"/>
      <c r="G20" s="15"/>
      <c r="H20" s="15"/>
      <c r="I20" s="15"/>
      <c r="J20" s="15"/>
      <c r="K20" s="15"/>
      <c r="L20" s="15"/>
      <c r="M20" s="15"/>
      <c r="N20" s="15"/>
      <c r="O20" s="15"/>
      <c r="P20" s="15"/>
      <c r="Q20" s="15"/>
      <c r="R20" s="15"/>
      <c r="S20" s="15"/>
      <c r="T20" s="15"/>
      <c r="U20" s="15"/>
      <c r="V20" s="24">
        <f t="shared" si="5"/>
        <v>0</v>
      </c>
      <c r="W20" s="20">
        <f t="shared" si="6"/>
        <v>0</v>
      </c>
    </row>
    <row r="21" ht="15.75" customHeight="1">
      <c r="A21" s="23" t="s">
        <v>110</v>
      </c>
      <c r="B21" s="15">
        <v>1.0</v>
      </c>
      <c r="C21" s="15"/>
      <c r="D21" s="15">
        <v>1.0</v>
      </c>
      <c r="E21" s="15"/>
      <c r="F21" s="15"/>
      <c r="G21" s="15">
        <v>1.0</v>
      </c>
      <c r="H21" s="15">
        <v>1.0</v>
      </c>
      <c r="I21" s="15">
        <v>1.0</v>
      </c>
      <c r="J21" s="15"/>
      <c r="K21" s="15"/>
      <c r="L21" s="15">
        <v>1.0</v>
      </c>
      <c r="M21" s="15"/>
      <c r="N21" s="15"/>
      <c r="O21" s="15">
        <v>1.0</v>
      </c>
      <c r="P21" s="15"/>
      <c r="Q21" s="15"/>
      <c r="R21" s="15"/>
      <c r="S21" s="15"/>
      <c r="T21" s="15"/>
      <c r="U21" s="15"/>
      <c r="V21" s="24">
        <f t="shared" si="5"/>
        <v>6</v>
      </c>
      <c r="W21" s="20">
        <f t="shared" si="6"/>
        <v>0</v>
      </c>
    </row>
    <row r="22" ht="15.75" customHeight="1">
      <c r="A22" s="23" t="s">
        <v>100</v>
      </c>
      <c r="B22" s="15"/>
      <c r="C22" s="15"/>
      <c r="D22" s="15"/>
      <c r="E22" s="15"/>
      <c r="F22" s="15"/>
      <c r="G22" s="15"/>
      <c r="H22" s="15"/>
      <c r="I22" s="15"/>
      <c r="J22" s="15"/>
      <c r="K22" s="15"/>
      <c r="L22" s="15"/>
      <c r="M22" s="15"/>
      <c r="N22" s="15"/>
      <c r="O22" s="15"/>
      <c r="P22" s="15"/>
      <c r="Q22" s="15"/>
      <c r="R22" s="15"/>
      <c r="S22" s="15"/>
      <c r="T22" s="15"/>
      <c r="U22" s="15"/>
      <c r="V22" s="24">
        <f t="shared" si="5"/>
        <v>0</v>
      </c>
      <c r="W22" s="20">
        <f t="shared" si="6"/>
        <v>0</v>
      </c>
    </row>
    <row r="23" ht="15.75" customHeight="1">
      <c r="A23" s="23" t="s">
        <v>134</v>
      </c>
      <c r="B23" s="15"/>
      <c r="C23" s="15"/>
      <c r="D23" s="15"/>
      <c r="E23" s="15"/>
      <c r="F23" s="15"/>
      <c r="G23" s="15"/>
      <c r="H23" s="15"/>
      <c r="I23" s="15"/>
      <c r="J23" s="15"/>
      <c r="K23" s="15"/>
      <c r="L23" s="15"/>
      <c r="M23" s="15"/>
      <c r="N23" s="15"/>
      <c r="O23" s="15"/>
      <c r="P23" s="15"/>
      <c r="Q23" s="15"/>
      <c r="R23" s="15"/>
      <c r="S23" s="15"/>
      <c r="T23" s="15"/>
      <c r="U23" s="15"/>
      <c r="V23" s="24">
        <f t="shared" si="5"/>
        <v>0</v>
      </c>
      <c r="W23" s="20">
        <f t="shared" si="6"/>
        <v>0</v>
      </c>
    </row>
    <row r="24" ht="15.75" customHeight="1">
      <c r="A24" s="23" t="s">
        <v>135</v>
      </c>
      <c r="B24" s="15">
        <v>1.0</v>
      </c>
      <c r="C24" s="15"/>
      <c r="D24" s="15">
        <v>1.0</v>
      </c>
      <c r="E24" s="15">
        <v>1.0</v>
      </c>
      <c r="F24" s="15">
        <v>1.0</v>
      </c>
      <c r="G24" s="15">
        <v>1.0</v>
      </c>
      <c r="H24" s="15">
        <v>1.0</v>
      </c>
      <c r="I24" s="15">
        <v>1.0</v>
      </c>
      <c r="J24" s="15"/>
      <c r="K24" s="15"/>
      <c r="L24" s="15">
        <v>1.0</v>
      </c>
      <c r="M24" s="15"/>
      <c r="N24" s="15"/>
      <c r="O24" s="15"/>
      <c r="P24" s="15">
        <v>1.0</v>
      </c>
      <c r="Q24" s="15"/>
      <c r="R24" s="15"/>
      <c r="S24" s="15"/>
      <c r="T24" s="15"/>
      <c r="U24" s="15"/>
      <c r="V24" s="24">
        <f t="shared" si="5"/>
        <v>8</v>
      </c>
      <c r="W24" s="20">
        <f t="shared" si="6"/>
        <v>0</v>
      </c>
    </row>
    <row r="25" ht="15.75" customHeight="1">
      <c r="A25" s="23" t="s">
        <v>136</v>
      </c>
      <c r="B25" s="15"/>
      <c r="C25" s="15"/>
      <c r="D25" s="15"/>
      <c r="E25" s="15"/>
      <c r="F25" s="15"/>
      <c r="G25" s="15"/>
      <c r="H25" s="15"/>
      <c r="I25" s="15"/>
      <c r="J25" s="15"/>
      <c r="K25" s="15"/>
      <c r="L25" s="15"/>
      <c r="M25" s="15"/>
      <c r="N25" s="15"/>
      <c r="O25" s="15">
        <v>1.0</v>
      </c>
      <c r="P25" s="15"/>
      <c r="Q25" s="15"/>
      <c r="R25" s="15"/>
      <c r="S25" s="15"/>
      <c r="T25" s="15"/>
      <c r="U25" s="15"/>
      <c r="V25" s="24">
        <f t="shared" si="5"/>
        <v>1</v>
      </c>
      <c r="W25" s="20">
        <f t="shared" si="6"/>
        <v>0</v>
      </c>
    </row>
    <row r="26" ht="15.75" customHeight="1">
      <c r="A26" s="23" t="s">
        <v>104</v>
      </c>
      <c r="B26" s="15"/>
      <c r="C26" s="15"/>
      <c r="D26" s="15">
        <v>1.0</v>
      </c>
      <c r="E26" s="15"/>
      <c r="F26" s="15"/>
      <c r="G26" s="15">
        <v>1.0</v>
      </c>
      <c r="H26" s="15"/>
      <c r="I26" s="15"/>
      <c r="J26" s="15"/>
      <c r="K26" s="15"/>
      <c r="L26" s="15">
        <v>1.0</v>
      </c>
      <c r="M26" s="15"/>
      <c r="N26" s="15"/>
      <c r="O26" s="15"/>
      <c r="P26" s="15"/>
      <c r="Q26" s="15"/>
      <c r="R26" s="15"/>
      <c r="S26" s="15"/>
      <c r="T26" s="15"/>
      <c r="U26" s="15"/>
      <c r="V26" s="24">
        <f t="shared" si="5"/>
        <v>2</v>
      </c>
      <c r="W26" s="20">
        <f t="shared" si="6"/>
        <v>0</v>
      </c>
    </row>
    <row r="27" ht="15.75" customHeight="1">
      <c r="A27" s="23" t="s">
        <v>137</v>
      </c>
      <c r="B27" s="15"/>
      <c r="C27" s="15"/>
      <c r="D27" s="15"/>
      <c r="E27" s="15"/>
      <c r="F27" s="15"/>
      <c r="G27" s="15"/>
      <c r="H27" s="15"/>
      <c r="I27" s="15"/>
      <c r="J27" s="15"/>
      <c r="K27" s="15"/>
      <c r="L27" s="15">
        <v>1.0</v>
      </c>
      <c r="M27" s="15">
        <v>1.0</v>
      </c>
      <c r="N27" s="15"/>
      <c r="O27" s="15">
        <v>1.0</v>
      </c>
      <c r="P27" s="15"/>
      <c r="Q27" s="15"/>
      <c r="R27" s="15"/>
      <c r="S27" s="15"/>
      <c r="T27" s="15"/>
      <c r="U27" s="15"/>
      <c r="V27" s="24">
        <f t="shared" si="5"/>
        <v>3</v>
      </c>
      <c r="W27" s="20">
        <f t="shared" si="6"/>
        <v>0</v>
      </c>
    </row>
    <row r="28" ht="15.75" customHeight="1">
      <c r="A28" s="23" t="s">
        <v>101</v>
      </c>
      <c r="B28" s="15"/>
      <c r="C28" s="15"/>
      <c r="D28" s="15"/>
      <c r="E28" s="15"/>
      <c r="F28" s="15"/>
      <c r="G28" s="15"/>
      <c r="H28" s="15"/>
      <c r="I28" s="15"/>
      <c r="J28" s="15"/>
      <c r="K28" s="15"/>
      <c r="L28" s="15"/>
      <c r="M28" s="15"/>
      <c r="N28" s="15"/>
      <c r="O28" s="15"/>
      <c r="P28" s="15"/>
      <c r="Q28" s="15"/>
      <c r="R28" s="15"/>
      <c r="S28" s="15"/>
      <c r="T28" s="15"/>
      <c r="U28" s="15"/>
      <c r="V28" s="24">
        <f t="shared" si="5"/>
        <v>0</v>
      </c>
      <c r="W28" s="20">
        <f t="shared" si="6"/>
        <v>0</v>
      </c>
    </row>
    <row r="29" ht="15.75" customHeight="1">
      <c r="A29" s="23" t="s">
        <v>98</v>
      </c>
      <c r="B29" s="15">
        <v>1.0</v>
      </c>
      <c r="C29" s="15"/>
      <c r="D29" s="15">
        <v>1.0</v>
      </c>
      <c r="E29" s="15"/>
      <c r="F29" s="15"/>
      <c r="G29" s="15"/>
      <c r="H29" s="15"/>
      <c r="I29" s="15">
        <v>1.0</v>
      </c>
      <c r="J29" s="15"/>
      <c r="K29" s="15"/>
      <c r="L29" s="15"/>
      <c r="M29" s="15"/>
      <c r="N29" s="15">
        <v>1.0</v>
      </c>
      <c r="O29" s="15">
        <v>1.0</v>
      </c>
      <c r="P29" s="15"/>
      <c r="Q29" s="15"/>
      <c r="R29" s="15"/>
      <c r="S29" s="15"/>
      <c r="T29" s="15"/>
      <c r="U29" s="15"/>
      <c r="V29" s="24">
        <f t="shared" si="5"/>
        <v>4</v>
      </c>
      <c r="W29" s="20">
        <f t="shared" si="6"/>
        <v>0</v>
      </c>
    </row>
    <row r="30" ht="15.75" customHeight="1">
      <c r="A30" s="23" t="s">
        <v>138</v>
      </c>
      <c r="B30" s="15"/>
      <c r="C30" s="15"/>
      <c r="D30" s="15"/>
      <c r="E30" s="15"/>
      <c r="F30" s="15"/>
      <c r="G30" s="15"/>
      <c r="H30" s="15"/>
      <c r="I30" s="15"/>
      <c r="J30" s="15"/>
      <c r="K30" s="15"/>
      <c r="L30" s="15"/>
      <c r="M30" s="15"/>
      <c r="N30" s="15"/>
      <c r="O30" s="15"/>
      <c r="P30" s="15"/>
      <c r="Q30" s="15"/>
      <c r="R30" s="15"/>
      <c r="S30" s="15"/>
      <c r="T30" s="15"/>
      <c r="U30" s="15"/>
      <c r="V30" s="24">
        <f t="shared" si="5"/>
        <v>0</v>
      </c>
      <c r="W30" s="20">
        <f t="shared" si="6"/>
        <v>0</v>
      </c>
    </row>
    <row r="31" ht="15.75" customHeight="1">
      <c r="A31" s="23" t="s">
        <v>139</v>
      </c>
      <c r="B31" s="15"/>
      <c r="C31" s="15"/>
      <c r="D31" s="15"/>
      <c r="E31" s="15"/>
      <c r="F31" s="15"/>
      <c r="G31" s="15"/>
      <c r="H31" s="15"/>
      <c r="I31" s="15"/>
      <c r="J31" s="15"/>
      <c r="K31" s="15"/>
      <c r="L31" s="15"/>
      <c r="M31" s="15"/>
      <c r="N31" s="15">
        <v>1.0</v>
      </c>
      <c r="O31" s="15"/>
      <c r="P31" s="15"/>
      <c r="Q31" s="15"/>
      <c r="R31" s="15"/>
      <c r="S31" s="15"/>
      <c r="T31" s="15"/>
      <c r="U31" s="15"/>
      <c r="V31" s="24">
        <f t="shared" si="5"/>
        <v>1</v>
      </c>
      <c r="W31" s="20">
        <f t="shared" si="6"/>
        <v>0</v>
      </c>
    </row>
    <row r="32" ht="15.75" customHeight="1">
      <c r="A32" s="23" t="s">
        <v>140</v>
      </c>
      <c r="B32" s="15"/>
      <c r="C32" s="15"/>
      <c r="D32" s="15"/>
      <c r="E32" s="15">
        <v>1.0</v>
      </c>
      <c r="F32" s="15">
        <v>1.0</v>
      </c>
      <c r="G32" s="15"/>
      <c r="H32" s="15"/>
      <c r="I32" s="15">
        <v>1.0</v>
      </c>
      <c r="J32" s="15"/>
      <c r="K32" s="15"/>
      <c r="L32" s="15">
        <v>1.0</v>
      </c>
      <c r="M32" s="15">
        <v>1.0</v>
      </c>
      <c r="N32" s="15"/>
      <c r="O32" s="15"/>
      <c r="P32" s="15"/>
      <c r="Q32" s="15"/>
      <c r="R32" s="15"/>
      <c r="S32" s="15"/>
      <c r="T32" s="15"/>
      <c r="U32" s="15"/>
      <c r="V32" s="24">
        <f t="shared" si="5"/>
        <v>5</v>
      </c>
      <c r="W32" s="20">
        <f t="shared" si="6"/>
        <v>0</v>
      </c>
    </row>
    <row r="33" ht="15.75" customHeight="1">
      <c r="A33" s="23" t="s">
        <v>141</v>
      </c>
      <c r="B33" s="15">
        <v>1.0</v>
      </c>
      <c r="C33" s="15"/>
      <c r="D33" s="15"/>
      <c r="E33" s="15">
        <v>1.0</v>
      </c>
      <c r="F33" s="15">
        <v>1.0</v>
      </c>
      <c r="G33" s="15">
        <v>1.0</v>
      </c>
      <c r="H33" s="15">
        <v>1.0</v>
      </c>
      <c r="I33" s="15">
        <v>1.0</v>
      </c>
      <c r="J33" s="15"/>
      <c r="K33" s="15"/>
      <c r="L33" s="15">
        <v>1.0</v>
      </c>
      <c r="M33" s="15">
        <v>1.0</v>
      </c>
      <c r="N33" s="15">
        <v>1.0</v>
      </c>
      <c r="O33" s="15">
        <v>1.0</v>
      </c>
      <c r="P33" s="15">
        <v>1.0</v>
      </c>
      <c r="Q33" s="15"/>
      <c r="R33" s="15"/>
      <c r="S33" s="15"/>
      <c r="T33" s="15"/>
      <c r="U33" s="15"/>
      <c r="V33" s="24">
        <f t="shared" si="5"/>
        <v>11</v>
      </c>
      <c r="W33" s="20">
        <f t="shared" si="6"/>
        <v>0</v>
      </c>
    </row>
    <row r="34" ht="15.75" customHeight="1">
      <c r="A34" s="23" t="s">
        <v>105</v>
      </c>
      <c r="B34" s="15">
        <v>1.0</v>
      </c>
      <c r="C34" s="15"/>
      <c r="D34" s="15">
        <v>1.0</v>
      </c>
      <c r="E34" s="15">
        <v>1.0</v>
      </c>
      <c r="F34" s="15">
        <v>1.0</v>
      </c>
      <c r="G34" s="15"/>
      <c r="H34" s="15"/>
      <c r="I34" s="15"/>
      <c r="J34" s="15"/>
      <c r="K34" s="15"/>
      <c r="L34" s="15"/>
      <c r="M34" s="15"/>
      <c r="N34" s="15"/>
      <c r="O34" s="15"/>
      <c r="P34" s="15"/>
      <c r="Q34" s="15"/>
      <c r="R34" s="15"/>
      <c r="S34" s="15"/>
      <c r="T34" s="15"/>
      <c r="U34" s="15"/>
      <c r="V34" s="24">
        <f t="shared" si="5"/>
        <v>3</v>
      </c>
      <c r="W34" s="20">
        <f t="shared" si="6"/>
        <v>0</v>
      </c>
    </row>
    <row r="35" ht="15.75" customHeight="1">
      <c r="A35" s="23" t="s">
        <v>111</v>
      </c>
      <c r="B35" s="15">
        <v>1.0</v>
      </c>
      <c r="C35" s="15"/>
      <c r="D35" s="15">
        <v>1.0</v>
      </c>
      <c r="E35" s="15"/>
      <c r="F35" s="15">
        <v>1.0</v>
      </c>
      <c r="G35" s="15">
        <v>1.0</v>
      </c>
      <c r="H35" s="15"/>
      <c r="I35" s="15"/>
      <c r="J35" s="15"/>
      <c r="K35" s="15"/>
      <c r="L35" s="15"/>
      <c r="M35" s="15"/>
      <c r="N35" s="15"/>
      <c r="O35" s="15"/>
      <c r="P35" s="15"/>
      <c r="Q35" s="15"/>
      <c r="R35" s="15"/>
      <c r="S35" s="15"/>
      <c r="T35" s="15"/>
      <c r="U35" s="15"/>
      <c r="V35" s="24">
        <f t="shared" si="5"/>
        <v>3</v>
      </c>
      <c r="W35" s="20">
        <f t="shared" si="6"/>
        <v>0</v>
      </c>
    </row>
    <row r="36" ht="15.75" customHeight="1">
      <c r="A36" s="23" t="s">
        <v>102</v>
      </c>
      <c r="B36" s="15">
        <v>1.0</v>
      </c>
      <c r="C36" s="15"/>
      <c r="D36" s="15"/>
      <c r="E36" s="15">
        <v>1.0</v>
      </c>
      <c r="F36" s="15"/>
      <c r="G36" s="15">
        <v>1.0</v>
      </c>
      <c r="H36" s="15">
        <v>1.0</v>
      </c>
      <c r="I36" s="15">
        <v>1.0</v>
      </c>
      <c r="J36" s="15"/>
      <c r="K36" s="15"/>
      <c r="L36" s="15"/>
      <c r="M36" s="15">
        <v>1.0</v>
      </c>
      <c r="N36" s="15">
        <v>1.0</v>
      </c>
      <c r="O36" s="15">
        <v>1.0</v>
      </c>
      <c r="P36" s="15"/>
      <c r="Q36" s="15"/>
      <c r="R36" s="15"/>
      <c r="S36" s="15"/>
      <c r="T36" s="15"/>
      <c r="U36" s="15"/>
      <c r="V36" s="24">
        <f t="shared" si="5"/>
        <v>8</v>
      </c>
      <c r="W36" s="20">
        <f t="shared" si="6"/>
        <v>0</v>
      </c>
    </row>
    <row r="37" ht="15.75" customHeight="1">
      <c r="A37" s="23" t="s">
        <v>142</v>
      </c>
      <c r="B37" s="15"/>
      <c r="C37" s="15"/>
      <c r="D37" s="15"/>
      <c r="E37" s="15"/>
      <c r="F37" s="15"/>
      <c r="G37" s="15"/>
      <c r="H37" s="15"/>
      <c r="I37" s="15"/>
      <c r="J37" s="15"/>
      <c r="K37" s="15"/>
      <c r="L37" s="15"/>
      <c r="M37" s="15"/>
      <c r="N37" s="15"/>
      <c r="O37" s="15"/>
      <c r="P37" s="15"/>
      <c r="Q37" s="15"/>
      <c r="R37" s="15"/>
      <c r="S37" s="15"/>
      <c r="T37" s="15"/>
      <c r="U37" s="15"/>
      <c r="V37" s="24">
        <f t="shared" si="5"/>
        <v>0</v>
      </c>
      <c r="W37" s="20">
        <f t="shared" si="6"/>
        <v>0</v>
      </c>
    </row>
    <row r="38" ht="15.75" customHeight="1">
      <c r="A38" s="23" t="s">
        <v>99</v>
      </c>
      <c r="B38" s="15"/>
      <c r="C38" s="15"/>
      <c r="D38" s="15"/>
      <c r="E38" s="15"/>
      <c r="F38" s="15"/>
      <c r="G38" s="15"/>
      <c r="H38" s="15"/>
      <c r="I38" s="15"/>
      <c r="J38" s="15"/>
      <c r="K38" s="15"/>
      <c r="L38" s="15"/>
      <c r="M38" s="15"/>
      <c r="N38" s="15"/>
      <c r="O38" s="15"/>
      <c r="P38" s="15"/>
      <c r="Q38" s="15"/>
      <c r="R38" s="15"/>
      <c r="S38" s="15"/>
      <c r="T38" s="15"/>
      <c r="U38" s="15"/>
      <c r="V38" s="24">
        <f t="shared" si="5"/>
        <v>0</v>
      </c>
      <c r="W38" s="20">
        <f t="shared" si="6"/>
        <v>0</v>
      </c>
    </row>
    <row r="39" ht="15.75" customHeight="1">
      <c r="A39" s="23" t="s">
        <v>143</v>
      </c>
      <c r="B39" s="15"/>
      <c r="C39" s="15"/>
      <c r="D39" s="15">
        <v>1.0</v>
      </c>
      <c r="E39" s="15">
        <v>1.0</v>
      </c>
      <c r="F39" s="15">
        <v>1.0</v>
      </c>
      <c r="G39" s="15">
        <v>1.0</v>
      </c>
      <c r="H39" s="15"/>
      <c r="I39" s="15">
        <v>1.0</v>
      </c>
      <c r="J39" s="15"/>
      <c r="K39" s="15"/>
      <c r="L39" s="15"/>
      <c r="M39" s="15"/>
      <c r="N39" s="15"/>
      <c r="O39" s="15"/>
      <c r="P39" s="15"/>
      <c r="Q39" s="15"/>
      <c r="R39" s="15"/>
      <c r="S39" s="15"/>
      <c r="T39" s="15"/>
      <c r="U39" s="15"/>
      <c r="V39" s="24">
        <f t="shared" si="5"/>
        <v>4</v>
      </c>
      <c r="W39" s="20">
        <f t="shared" si="6"/>
        <v>0</v>
      </c>
    </row>
    <row r="40" ht="15.75" customHeight="1">
      <c r="A40" s="23"/>
      <c r="B40" s="15"/>
      <c r="C40" s="15"/>
      <c r="D40" s="15"/>
      <c r="E40" s="15"/>
      <c r="F40" s="15"/>
      <c r="G40" s="15"/>
      <c r="H40" s="15"/>
      <c r="I40" s="15"/>
      <c r="J40" s="15"/>
      <c r="K40" s="15"/>
      <c r="L40" s="15"/>
      <c r="M40" s="15"/>
      <c r="N40" s="15"/>
      <c r="O40" s="15"/>
      <c r="P40" s="15"/>
      <c r="Q40" s="15"/>
      <c r="R40" s="15"/>
      <c r="S40" s="15"/>
      <c r="T40" s="15"/>
      <c r="U40" s="15"/>
      <c r="V40" s="24">
        <f t="shared" si="5"/>
        <v>0</v>
      </c>
      <c r="W40" s="20">
        <f t="shared" si="6"/>
        <v>0</v>
      </c>
    </row>
    <row r="41" ht="15.75" customHeight="1">
      <c r="A41" s="23"/>
      <c r="B41" s="15"/>
      <c r="C41" s="15"/>
      <c r="D41" s="15"/>
      <c r="E41" s="15"/>
      <c r="F41" s="15"/>
      <c r="G41" s="15"/>
      <c r="H41" s="15"/>
      <c r="I41" s="15"/>
      <c r="J41" s="15"/>
      <c r="K41" s="15"/>
      <c r="L41" s="15"/>
      <c r="M41" s="15"/>
      <c r="N41" s="15"/>
      <c r="O41" s="15"/>
      <c r="P41" s="15"/>
      <c r="Q41" s="15"/>
      <c r="R41" s="15"/>
      <c r="S41" s="15"/>
      <c r="T41" s="15"/>
      <c r="U41" s="15"/>
      <c r="V41" s="24">
        <f t="shared" si="5"/>
        <v>0</v>
      </c>
      <c r="W41" s="20">
        <f t="shared" si="6"/>
        <v>0</v>
      </c>
    </row>
    <row r="42" ht="15.75" customHeight="1">
      <c r="A42" s="23"/>
      <c r="B42" s="15"/>
      <c r="C42" s="15"/>
      <c r="D42" s="15"/>
      <c r="E42" s="15"/>
      <c r="F42" s="15"/>
      <c r="G42" s="15"/>
      <c r="H42" s="15"/>
      <c r="I42" s="15"/>
      <c r="J42" s="15"/>
      <c r="K42" s="15"/>
      <c r="L42" s="15"/>
      <c r="M42" s="15"/>
      <c r="N42" s="15"/>
      <c r="O42" s="15"/>
      <c r="P42" s="15"/>
      <c r="Q42" s="15"/>
      <c r="R42" s="15"/>
      <c r="S42" s="15"/>
      <c r="T42" s="15"/>
      <c r="U42" s="15"/>
      <c r="V42" s="24">
        <f t="shared" si="5"/>
        <v>0</v>
      </c>
      <c r="W42" s="20">
        <f t="shared" si="6"/>
        <v>0</v>
      </c>
    </row>
    <row r="43" ht="15.75" customHeight="1">
      <c r="A43" s="23"/>
      <c r="B43" s="15"/>
      <c r="C43" s="15"/>
      <c r="D43" s="15"/>
      <c r="E43" s="15"/>
      <c r="F43" s="15"/>
      <c r="G43" s="15"/>
      <c r="H43" s="15"/>
      <c r="I43" s="15"/>
      <c r="J43" s="15"/>
      <c r="K43" s="15"/>
      <c r="L43" s="15"/>
      <c r="M43" s="15"/>
      <c r="N43" s="15"/>
      <c r="O43" s="15"/>
      <c r="P43" s="15"/>
      <c r="Q43" s="15"/>
      <c r="R43" s="15"/>
      <c r="S43" s="15"/>
      <c r="T43" s="15"/>
      <c r="U43" s="15"/>
      <c r="V43" s="24">
        <f t="shared" si="5"/>
        <v>0</v>
      </c>
      <c r="W43" s="20">
        <f t="shared" si="6"/>
        <v>0</v>
      </c>
    </row>
    <row r="44" ht="15.75" customHeight="1">
      <c r="A44" s="23"/>
      <c r="B44" s="15"/>
      <c r="C44" s="15"/>
      <c r="D44" s="15"/>
      <c r="E44" s="15"/>
      <c r="F44" s="15"/>
      <c r="G44" s="15"/>
      <c r="H44" s="15"/>
      <c r="I44" s="15"/>
      <c r="J44" s="15"/>
      <c r="K44" s="15"/>
      <c r="L44" s="15"/>
      <c r="M44" s="15"/>
      <c r="N44" s="15"/>
      <c r="O44" s="15"/>
      <c r="P44" s="15"/>
      <c r="Q44" s="15"/>
      <c r="R44" s="15"/>
      <c r="S44" s="15"/>
      <c r="T44" s="15"/>
      <c r="U44" s="15"/>
      <c r="V44" s="24">
        <f t="shared" si="5"/>
        <v>0</v>
      </c>
      <c r="W44" s="20">
        <f t="shared" si="6"/>
        <v>0</v>
      </c>
    </row>
    <row r="45" ht="15.75" customHeight="1">
      <c r="A45" s="23"/>
      <c r="B45" s="15"/>
      <c r="C45" s="15"/>
      <c r="D45" s="15"/>
      <c r="E45" s="15"/>
      <c r="F45" s="15"/>
      <c r="G45" s="15"/>
      <c r="H45" s="15"/>
      <c r="I45" s="15"/>
      <c r="J45" s="15"/>
      <c r="K45" s="15"/>
      <c r="L45" s="15"/>
      <c r="M45" s="15"/>
      <c r="N45" s="15"/>
      <c r="O45" s="15"/>
      <c r="P45" s="15"/>
      <c r="Q45" s="15"/>
      <c r="R45" s="15"/>
      <c r="S45" s="15"/>
      <c r="T45" s="15"/>
      <c r="U45" s="15"/>
      <c r="V45" s="24">
        <f t="shared" si="5"/>
        <v>0</v>
      </c>
      <c r="W45" s="20">
        <f t="shared" si="6"/>
        <v>0</v>
      </c>
    </row>
    <row r="46" ht="15.75" customHeight="1">
      <c r="A46" s="7" t="s">
        <v>144</v>
      </c>
      <c r="V46" s="24">
        <f t="shared" ref="V46:W46" si="7">SUM(V18:V45)</f>
        <v>62</v>
      </c>
      <c r="W46" s="25">
        <f t="shared" si="7"/>
        <v>0</v>
      </c>
    </row>
    <row r="47" ht="15.75" customHeight="1"/>
    <row r="48" ht="15.75" customHeight="1">
      <c r="A48" s="21" t="s">
        <v>146</v>
      </c>
      <c r="B48" s="22" t="s">
        <v>41</v>
      </c>
      <c r="C48" s="22" t="s">
        <v>42</v>
      </c>
      <c r="D48" s="22" t="s">
        <v>43</v>
      </c>
      <c r="E48" s="22" t="s">
        <v>44</v>
      </c>
      <c r="F48" s="22" t="s">
        <v>45</v>
      </c>
      <c r="G48" s="22" t="s">
        <v>46</v>
      </c>
      <c r="H48" s="22" t="s">
        <v>47</v>
      </c>
      <c r="I48" s="22" t="s">
        <v>48</v>
      </c>
      <c r="J48" s="22" t="s">
        <v>49</v>
      </c>
      <c r="K48" s="22" t="s">
        <v>50</v>
      </c>
      <c r="L48" s="22" t="s">
        <v>51</v>
      </c>
      <c r="M48" s="22" t="s">
        <v>52</v>
      </c>
      <c r="N48" s="22" t="s">
        <v>53</v>
      </c>
      <c r="O48" s="22" t="s">
        <v>54</v>
      </c>
      <c r="P48" s="22" t="s">
        <v>55</v>
      </c>
      <c r="Q48" s="22" t="s">
        <v>56</v>
      </c>
      <c r="R48" s="22" t="s">
        <v>57</v>
      </c>
      <c r="S48" s="22" t="s">
        <v>58</v>
      </c>
      <c r="T48" s="22" t="s">
        <v>59</v>
      </c>
      <c r="U48" s="22" t="s">
        <v>60</v>
      </c>
      <c r="V48" s="22" t="s">
        <v>147</v>
      </c>
    </row>
    <row r="49" ht="15.75" customHeight="1">
      <c r="A49" s="23" t="str">
        <f t="shared" ref="A49:A76" si="8">IF($A18="","",$A18)</f>
        <v>Ahmed</v>
      </c>
      <c r="B49" s="15"/>
      <c r="C49" s="15"/>
      <c r="D49" s="15"/>
      <c r="E49" s="15"/>
      <c r="F49" s="15"/>
      <c r="G49" s="15"/>
      <c r="H49" s="15">
        <v>1.0</v>
      </c>
      <c r="I49" s="15"/>
      <c r="J49" s="15"/>
      <c r="K49" s="15"/>
      <c r="L49" s="15"/>
      <c r="M49" s="15">
        <v>3.0</v>
      </c>
      <c r="N49" s="15"/>
      <c r="O49" s="15">
        <v>1.0</v>
      </c>
      <c r="P49" s="15"/>
      <c r="Q49" s="15"/>
      <c r="R49" s="15"/>
      <c r="S49" s="15"/>
      <c r="T49" s="15"/>
      <c r="U49" s="15"/>
      <c r="V49" s="24">
        <f t="shared" ref="V49:V76" si="9">SUMPRODUCT(B49:U49*($B$16:$U$16=""))</f>
        <v>5</v>
      </c>
    </row>
    <row r="50" ht="15.75" customHeight="1">
      <c r="A50" s="23" t="str">
        <f t="shared" si="8"/>
        <v>Alex Ruben</v>
      </c>
      <c r="B50" s="15"/>
      <c r="C50" s="15"/>
      <c r="D50" s="15"/>
      <c r="E50" s="15"/>
      <c r="F50" s="15"/>
      <c r="G50" s="15"/>
      <c r="H50" s="15"/>
      <c r="I50" s="15"/>
      <c r="J50" s="15"/>
      <c r="K50" s="15"/>
      <c r="L50" s="15"/>
      <c r="M50" s="15"/>
      <c r="N50" s="15"/>
      <c r="O50" s="15"/>
      <c r="P50" s="15"/>
      <c r="Q50" s="15"/>
      <c r="R50" s="15"/>
      <c r="S50" s="15"/>
      <c r="T50" s="15"/>
      <c r="U50" s="15"/>
      <c r="V50" s="24">
        <f t="shared" si="9"/>
        <v>0</v>
      </c>
    </row>
    <row r="51" ht="15.75" customHeight="1">
      <c r="A51" s="23" t="str">
        <f t="shared" si="8"/>
        <v>Andy Cowan</v>
      </c>
      <c r="B51" s="15"/>
      <c r="C51" s="15"/>
      <c r="D51" s="15"/>
      <c r="E51" s="15"/>
      <c r="F51" s="15"/>
      <c r="G51" s="15"/>
      <c r="H51" s="15"/>
      <c r="I51" s="15"/>
      <c r="J51" s="15"/>
      <c r="K51" s="15"/>
      <c r="L51" s="15"/>
      <c r="M51" s="15"/>
      <c r="N51" s="15"/>
      <c r="O51" s="15"/>
      <c r="P51" s="15"/>
      <c r="Q51" s="15"/>
      <c r="R51" s="15"/>
      <c r="S51" s="15"/>
      <c r="T51" s="15"/>
      <c r="U51" s="15"/>
      <c r="V51" s="24">
        <f t="shared" si="9"/>
        <v>0</v>
      </c>
    </row>
    <row r="52" ht="15.75" customHeight="1">
      <c r="A52" s="23" t="str">
        <f t="shared" si="8"/>
        <v>Ben Merrett</v>
      </c>
      <c r="B52" s="15"/>
      <c r="C52" s="15"/>
      <c r="D52" s="15"/>
      <c r="E52" s="15"/>
      <c r="F52" s="15"/>
      <c r="G52" s="15">
        <v>1.0</v>
      </c>
      <c r="H52" s="15"/>
      <c r="I52" s="15"/>
      <c r="J52" s="15"/>
      <c r="K52" s="15"/>
      <c r="L52" s="15"/>
      <c r="M52" s="15"/>
      <c r="N52" s="15"/>
      <c r="O52" s="15">
        <v>1.0</v>
      </c>
      <c r="P52" s="15"/>
      <c r="Q52" s="15"/>
      <c r="R52" s="15"/>
      <c r="S52" s="15"/>
      <c r="T52" s="15"/>
      <c r="U52" s="15"/>
      <c r="V52" s="24">
        <f t="shared" si="9"/>
        <v>2</v>
      </c>
    </row>
    <row r="53" ht="15.75" customHeight="1">
      <c r="A53" s="23" t="str">
        <f t="shared" si="8"/>
        <v>Callum McCarthy</v>
      </c>
      <c r="B53" s="15"/>
      <c r="C53" s="15"/>
      <c r="D53" s="15"/>
      <c r="E53" s="15"/>
      <c r="F53" s="15"/>
      <c r="G53" s="15"/>
      <c r="H53" s="15"/>
      <c r="I53" s="15"/>
      <c r="J53" s="15"/>
      <c r="K53" s="15"/>
      <c r="L53" s="15"/>
      <c r="M53" s="15"/>
      <c r="N53" s="15"/>
      <c r="O53" s="15"/>
      <c r="P53" s="15"/>
      <c r="Q53" s="15"/>
      <c r="R53" s="15"/>
      <c r="S53" s="15"/>
      <c r="T53" s="15"/>
      <c r="U53" s="15"/>
      <c r="V53" s="24">
        <f t="shared" si="9"/>
        <v>0</v>
      </c>
    </row>
    <row r="54" ht="15.75" customHeight="1">
      <c r="A54" s="23" t="str">
        <f t="shared" si="8"/>
        <v>Cecil Watson</v>
      </c>
      <c r="B54" s="15"/>
      <c r="C54" s="15"/>
      <c r="D54" s="15"/>
      <c r="E54" s="15"/>
      <c r="F54" s="15"/>
      <c r="G54" s="15"/>
      <c r="H54" s="15"/>
      <c r="I54" s="15"/>
      <c r="J54" s="15"/>
      <c r="K54" s="15"/>
      <c r="L54" s="15"/>
      <c r="M54" s="15"/>
      <c r="N54" s="15"/>
      <c r="O54" s="15"/>
      <c r="P54" s="15"/>
      <c r="Q54" s="15"/>
      <c r="R54" s="15"/>
      <c r="S54" s="15"/>
      <c r="T54" s="15"/>
      <c r="U54" s="15"/>
      <c r="V54" s="24">
        <f t="shared" si="9"/>
        <v>0</v>
      </c>
    </row>
    <row r="55" ht="15.75" customHeight="1">
      <c r="A55" s="23" t="str">
        <f t="shared" si="8"/>
        <v>Conall Templeman</v>
      </c>
      <c r="B55" s="15">
        <v>1.0</v>
      </c>
      <c r="C55" s="15"/>
      <c r="D55" s="15"/>
      <c r="E55" s="15"/>
      <c r="F55" s="15"/>
      <c r="G55" s="15"/>
      <c r="H55" s="15"/>
      <c r="I55" s="15">
        <v>1.0</v>
      </c>
      <c r="J55" s="15"/>
      <c r="K55" s="15"/>
      <c r="L55" s="15"/>
      <c r="M55" s="15"/>
      <c r="N55" s="15"/>
      <c r="O55" s="15"/>
      <c r="P55" s="15">
        <v>1.0</v>
      </c>
      <c r="Q55" s="15"/>
      <c r="R55" s="15"/>
      <c r="S55" s="15"/>
      <c r="T55" s="15"/>
      <c r="U55" s="15"/>
      <c r="V55" s="24">
        <f t="shared" si="9"/>
        <v>3</v>
      </c>
    </row>
    <row r="56" ht="15.75" customHeight="1">
      <c r="A56" s="23" t="str">
        <f t="shared" si="8"/>
        <v>Eddie Ringer</v>
      </c>
      <c r="B56" s="15"/>
      <c r="C56" s="15"/>
      <c r="D56" s="15"/>
      <c r="E56" s="15"/>
      <c r="F56" s="15"/>
      <c r="G56" s="15"/>
      <c r="H56" s="15"/>
      <c r="I56" s="15"/>
      <c r="J56" s="15"/>
      <c r="K56" s="15"/>
      <c r="L56" s="15"/>
      <c r="M56" s="15"/>
      <c r="N56" s="15"/>
      <c r="O56" s="15">
        <v>1.0</v>
      </c>
      <c r="P56" s="15"/>
      <c r="Q56" s="15"/>
      <c r="R56" s="15"/>
      <c r="S56" s="15"/>
      <c r="T56" s="15"/>
      <c r="U56" s="15"/>
      <c r="V56" s="24">
        <f t="shared" si="9"/>
        <v>1</v>
      </c>
    </row>
    <row r="57" ht="15.75" customHeight="1">
      <c r="A57" s="23" t="str">
        <f t="shared" si="8"/>
        <v>Finn Cawley</v>
      </c>
      <c r="B57" s="15"/>
      <c r="C57" s="15"/>
      <c r="D57" s="15">
        <v>1.0</v>
      </c>
      <c r="E57" s="15"/>
      <c r="F57" s="15"/>
      <c r="G57" s="15">
        <v>2.0</v>
      </c>
      <c r="H57" s="15"/>
      <c r="I57" s="15"/>
      <c r="J57" s="15"/>
      <c r="K57" s="15"/>
      <c r="L57" s="15">
        <v>2.0</v>
      </c>
      <c r="M57" s="15"/>
      <c r="N57" s="15"/>
      <c r="O57" s="15"/>
      <c r="P57" s="15"/>
      <c r="Q57" s="15"/>
      <c r="R57" s="15"/>
      <c r="S57" s="15"/>
      <c r="T57" s="15"/>
      <c r="U57" s="15"/>
      <c r="V57" s="24">
        <f t="shared" si="9"/>
        <v>4</v>
      </c>
    </row>
    <row r="58" ht="15.75" customHeight="1">
      <c r="A58" s="23" t="str">
        <f t="shared" si="8"/>
        <v>George Barbantan</v>
      </c>
      <c r="B58" s="15"/>
      <c r="C58" s="15"/>
      <c r="D58" s="15"/>
      <c r="E58" s="15"/>
      <c r="F58" s="15"/>
      <c r="G58" s="15"/>
      <c r="H58" s="15"/>
      <c r="I58" s="15"/>
      <c r="J58" s="15"/>
      <c r="K58" s="15"/>
      <c r="L58" s="15">
        <v>1.0</v>
      </c>
      <c r="M58" s="15"/>
      <c r="N58" s="15"/>
      <c r="O58" s="15"/>
      <c r="P58" s="15"/>
      <c r="Q58" s="15"/>
      <c r="R58" s="15"/>
      <c r="S58" s="15"/>
      <c r="T58" s="15"/>
      <c r="U58" s="15"/>
      <c r="V58" s="24">
        <f t="shared" si="9"/>
        <v>1</v>
      </c>
    </row>
    <row r="59" ht="15.75" customHeight="1">
      <c r="A59" s="23" t="str">
        <f t="shared" si="8"/>
        <v>Henry Linklater</v>
      </c>
      <c r="B59" s="15"/>
      <c r="C59" s="15"/>
      <c r="D59" s="15"/>
      <c r="E59" s="15"/>
      <c r="F59" s="15"/>
      <c r="G59" s="15"/>
      <c r="H59" s="15"/>
      <c r="I59" s="15"/>
      <c r="J59" s="15"/>
      <c r="K59" s="15"/>
      <c r="L59" s="15"/>
      <c r="M59" s="15"/>
      <c r="N59" s="15"/>
      <c r="O59" s="15"/>
      <c r="P59" s="15"/>
      <c r="Q59" s="15"/>
      <c r="R59" s="15"/>
      <c r="S59" s="15"/>
      <c r="T59" s="15"/>
      <c r="U59" s="15"/>
      <c r="V59" s="24">
        <f t="shared" si="9"/>
        <v>0</v>
      </c>
    </row>
    <row r="60" ht="15.75" customHeight="1">
      <c r="A60" s="23" t="str">
        <f t="shared" si="8"/>
        <v>Isaac Mond</v>
      </c>
      <c r="B60" s="15">
        <v>1.0</v>
      </c>
      <c r="C60" s="15"/>
      <c r="D60" s="15"/>
      <c r="E60" s="15"/>
      <c r="F60" s="15"/>
      <c r="G60" s="15"/>
      <c r="H60" s="15"/>
      <c r="I60" s="15"/>
      <c r="J60" s="15"/>
      <c r="K60" s="15"/>
      <c r="L60" s="15"/>
      <c r="M60" s="15"/>
      <c r="N60" s="15"/>
      <c r="O60" s="15"/>
      <c r="P60" s="15"/>
      <c r="Q60" s="15"/>
      <c r="R60" s="15"/>
      <c r="S60" s="15"/>
      <c r="T60" s="15"/>
      <c r="U60" s="15"/>
      <c r="V60" s="24">
        <f t="shared" si="9"/>
        <v>1</v>
      </c>
    </row>
    <row r="61" ht="15.75" customHeight="1">
      <c r="A61" s="23" t="str">
        <f t="shared" si="8"/>
        <v>Jake Harrison</v>
      </c>
      <c r="B61" s="15"/>
      <c r="C61" s="15"/>
      <c r="D61" s="15"/>
      <c r="E61" s="15"/>
      <c r="F61" s="15"/>
      <c r="G61" s="15"/>
      <c r="H61" s="15"/>
      <c r="I61" s="15"/>
      <c r="J61" s="15"/>
      <c r="K61" s="15"/>
      <c r="L61" s="15"/>
      <c r="M61" s="15"/>
      <c r="N61" s="15"/>
      <c r="O61" s="15"/>
      <c r="P61" s="15"/>
      <c r="Q61" s="15"/>
      <c r="R61" s="15"/>
      <c r="S61" s="15"/>
      <c r="T61" s="15"/>
      <c r="U61" s="15"/>
      <c r="V61" s="24">
        <f t="shared" si="9"/>
        <v>0</v>
      </c>
    </row>
    <row r="62" ht="15.75" customHeight="1">
      <c r="A62" s="23" t="str">
        <f t="shared" si="8"/>
        <v>Jake Ringer</v>
      </c>
      <c r="B62" s="15"/>
      <c r="C62" s="15"/>
      <c r="D62" s="15"/>
      <c r="E62" s="15"/>
      <c r="F62" s="15"/>
      <c r="G62" s="15"/>
      <c r="H62" s="15"/>
      <c r="I62" s="15"/>
      <c r="J62" s="15"/>
      <c r="K62" s="15"/>
      <c r="L62" s="15"/>
      <c r="M62" s="15"/>
      <c r="N62" s="15"/>
      <c r="O62" s="15"/>
      <c r="P62" s="15"/>
      <c r="Q62" s="15"/>
      <c r="R62" s="15"/>
      <c r="S62" s="15"/>
      <c r="T62" s="15"/>
      <c r="U62" s="15"/>
      <c r="V62" s="24">
        <f t="shared" si="9"/>
        <v>0</v>
      </c>
    </row>
    <row r="63" ht="15.75" customHeight="1">
      <c r="A63" s="23" t="str">
        <f t="shared" si="8"/>
        <v>Keshav Singh</v>
      </c>
      <c r="B63" s="15"/>
      <c r="C63" s="15"/>
      <c r="D63" s="15"/>
      <c r="E63" s="15"/>
      <c r="F63" s="15"/>
      <c r="G63" s="15"/>
      <c r="H63" s="15"/>
      <c r="I63" s="15">
        <v>1.0</v>
      </c>
      <c r="J63" s="15"/>
      <c r="K63" s="15"/>
      <c r="L63" s="15"/>
      <c r="M63" s="15"/>
      <c r="N63" s="15"/>
      <c r="O63" s="15"/>
      <c r="P63" s="15"/>
      <c r="Q63" s="15"/>
      <c r="R63" s="15"/>
      <c r="S63" s="15"/>
      <c r="T63" s="15"/>
      <c r="U63" s="15"/>
      <c r="V63" s="24">
        <f t="shared" si="9"/>
        <v>1</v>
      </c>
    </row>
    <row r="64" ht="15.75" customHeight="1">
      <c r="A64" s="23" t="str">
        <f t="shared" si="8"/>
        <v>Mark Pellowe</v>
      </c>
      <c r="B64" s="15"/>
      <c r="C64" s="15"/>
      <c r="D64" s="15"/>
      <c r="E64" s="15"/>
      <c r="F64" s="15"/>
      <c r="G64" s="15"/>
      <c r="H64" s="15"/>
      <c r="I64" s="15"/>
      <c r="J64" s="15"/>
      <c r="K64" s="15"/>
      <c r="L64" s="15"/>
      <c r="M64" s="15"/>
      <c r="N64" s="15"/>
      <c r="O64" s="15"/>
      <c r="P64" s="15">
        <v>1.0</v>
      </c>
      <c r="Q64" s="15"/>
      <c r="R64" s="15"/>
      <c r="S64" s="15"/>
      <c r="T64" s="15"/>
      <c r="U64" s="15"/>
      <c r="V64" s="24">
        <f t="shared" si="9"/>
        <v>1</v>
      </c>
    </row>
    <row r="65" ht="15.75" customHeight="1">
      <c r="A65" s="23" t="str">
        <f t="shared" si="8"/>
        <v>Max Cobain</v>
      </c>
      <c r="B65" s="15"/>
      <c r="C65" s="15"/>
      <c r="D65" s="15">
        <v>2.0</v>
      </c>
      <c r="E65" s="15"/>
      <c r="F65" s="15">
        <v>1.0</v>
      </c>
      <c r="G65" s="15"/>
      <c r="H65" s="15"/>
      <c r="I65" s="15"/>
      <c r="J65" s="15"/>
      <c r="K65" s="15"/>
      <c r="L65" s="15"/>
      <c r="M65" s="15"/>
      <c r="N65" s="15"/>
      <c r="O65" s="15"/>
      <c r="P65" s="15"/>
      <c r="Q65" s="15"/>
      <c r="R65" s="15"/>
      <c r="S65" s="15"/>
      <c r="T65" s="15"/>
      <c r="U65" s="15"/>
      <c r="V65" s="24">
        <f t="shared" si="9"/>
        <v>1</v>
      </c>
    </row>
    <row r="66" ht="15.75" customHeight="1">
      <c r="A66" s="23" t="str">
        <f t="shared" si="8"/>
        <v>Neeraj Radia</v>
      </c>
      <c r="B66" s="15">
        <v>1.0</v>
      </c>
      <c r="C66" s="15"/>
      <c r="D66" s="15"/>
      <c r="E66" s="15"/>
      <c r="F66" s="15"/>
      <c r="G66" s="15"/>
      <c r="H66" s="15"/>
      <c r="I66" s="15"/>
      <c r="J66" s="15"/>
      <c r="K66" s="15"/>
      <c r="L66" s="15"/>
      <c r="M66" s="15"/>
      <c r="N66" s="15"/>
      <c r="O66" s="15"/>
      <c r="P66" s="15"/>
      <c r="Q66" s="15"/>
      <c r="R66" s="15"/>
      <c r="S66" s="15"/>
      <c r="T66" s="15"/>
      <c r="U66" s="15"/>
      <c r="V66" s="24">
        <f t="shared" si="9"/>
        <v>1</v>
      </c>
    </row>
    <row r="67" ht="15.75" customHeight="1">
      <c r="A67" s="23" t="str">
        <f t="shared" si="8"/>
        <v>Phil Knott</v>
      </c>
      <c r="B67" s="15"/>
      <c r="C67" s="15"/>
      <c r="D67" s="15"/>
      <c r="E67" s="15">
        <v>2.0</v>
      </c>
      <c r="F67" s="15"/>
      <c r="G67" s="15"/>
      <c r="H67" s="15"/>
      <c r="I67" s="15"/>
      <c r="J67" s="15"/>
      <c r="K67" s="15"/>
      <c r="L67" s="15"/>
      <c r="M67" s="15"/>
      <c r="N67" s="15"/>
      <c r="O67" s="15">
        <v>1.0</v>
      </c>
      <c r="P67" s="15"/>
      <c r="Q67" s="15"/>
      <c r="R67" s="15"/>
      <c r="S67" s="15"/>
      <c r="T67" s="15"/>
      <c r="U67" s="15"/>
      <c r="V67" s="24">
        <f t="shared" si="9"/>
        <v>3</v>
      </c>
    </row>
    <row r="68" ht="15.75" customHeight="1">
      <c r="A68" s="23" t="str">
        <f t="shared" si="8"/>
        <v>Robin</v>
      </c>
      <c r="B68" s="15"/>
      <c r="C68" s="15"/>
      <c r="D68" s="15"/>
      <c r="E68" s="15"/>
      <c r="F68" s="15"/>
      <c r="G68" s="15"/>
      <c r="H68" s="15"/>
      <c r="I68" s="15"/>
      <c r="J68" s="15"/>
      <c r="K68" s="15"/>
      <c r="L68" s="15"/>
      <c r="M68" s="15"/>
      <c r="N68" s="15"/>
      <c r="O68" s="15"/>
      <c r="P68" s="15"/>
      <c r="Q68" s="15"/>
      <c r="R68" s="15"/>
      <c r="S68" s="15"/>
      <c r="T68" s="15"/>
      <c r="U68" s="15"/>
      <c r="V68" s="24">
        <f t="shared" si="9"/>
        <v>0</v>
      </c>
    </row>
    <row r="69" ht="15.75" customHeight="1">
      <c r="A69" s="23" t="str">
        <f t="shared" si="8"/>
        <v>Sam Holt</v>
      </c>
      <c r="B69" s="15"/>
      <c r="C69" s="15"/>
      <c r="D69" s="15"/>
      <c r="E69" s="15"/>
      <c r="F69" s="15"/>
      <c r="G69" s="15"/>
      <c r="H69" s="15"/>
      <c r="I69" s="15"/>
      <c r="J69" s="15"/>
      <c r="K69" s="15"/>
      <c r="L69" s="15"/>
      <c r="M69" s="15"/>
      <c r="N69" s="15"/>
      <c r="O69" s="15"/>
      <c r="P69" s="15"/>
      <c r="Q69" s="15"/>
      <c r="R69" s="15"/>
      <c r="S69" s="15"/>
      <c r="T69" s="15"/>
      <c r="U69" s="15"/>
      <c r="V69" s="24">
        <f t="shared" si="9"/>
        <v>0</v>
      </c>
    </row>
    <row r="70" ht="15.75" customHeight="1">
      <c r="A70" s="23" t="str">
        <f t="shared" si="8"/>
        <v>Seb Burgess</v>
      </c>
      <c r="B70" s="15"/>
      <c r="C70" s="15"/>
      <c r="D70" s="15">
        <v>4.0</v>
      </c>
      <c r="E70" s="15">
        <v>2.0</v>
      </c>
      <c r="F70" s="15">
        <v>1.0</v>
      </c>
      <c r="G70" s="15">
        <v>2.0</v>
      </c>
      <c r="H70" s="15"/>
      <c r="I70" s="15"/>
      <c r="J70" s="15"/>
      <c r="K70" s="15"/>
      <c r="L70" s="15"/>
      <c r="M70" s="15"/>
      <c r="N70" s="15"/>
      <c r="O70" s="15"/>
      <c r="P70" s="15"/>
      <c r="Q70" s="15"/>
      <c r="R70" s="15"/>
      <c r="S70" s="15"/>
      <c r="T70" s="15"/>
      <c r="U70" s="15"/>
      <c r="V70" s="24">
        <f t="shared" si="9"/>
        <v>5</v>
      </c>
    </row>
    <row r="71" ht="15.75" customHeight="1">
      <c r="A71" s="23" t="str">
        <f t="shared" si="8"/>
        <v/>
      </c>
      <c r="B71" s="15"/>
      <c r="C71" s="15"/>
      <c r="D71" s="15"/>
      <c r="E71" s="15"/>
      <c r="F71" s="15"/>
      <c r="G71" s="15"/>
      <c r="H71" s="15"/>
      <c r="I71" s="15"/>
      <c r="J71" s="15"/>
      <c r="K71" s="15"/>
      <c r="L71" s="15"/>
      <c r="M71" s="15"/>
      <c r="N71" s="15"/>
      <c r="O71" s="15"/>
      <c r="P71" s="15"/>
      <c r="Q71" s="15"/>
      <c r="R71" s="15"/>
      <c r="S71" s="15"/>
      <c r="T71" s="15"/>
      <c r="U71" s="15"/>
      <c r="V71" s="24">
        <f t="shared" si="9"/>
        <v>0</v>
      </c>
    </row>
    <row r="72" ht="15.75" customHeight="1">
      <c r="A72" s="23" t="str">
        <f t="shared" si="8"/>
        <v/>
      </c>
      <c r="B72" s="15"/>
      <c r="C72" s="15"/>
      <c r="D72" s="15"/>
      <c r="E72" s="15"/>
      <c r="F72" s="15"/>
      <c r="G72" s="15"/>
      <c r="H72" s="15"/>
      <c r="I72" s="15"/>
      <c r="J72" s="15"/>
      <c r="K72" s="15"/>
      <c r="L72" s="15"/>
      <c r="M72" s="15"/>
      <c r="N72" s="15"/>
      <c r="O72" s="15"/>
      <c r="P72" s="15"/>
      <c r="Q72" s="15"/>
      <c r="R72" s="15"/>
      <c r="S72" s="15"/>
      <c r="T72" s="15"/>
      <c r="U72" s="15"/>
      <c r="V72" s="24">
        <f t="shared" si="9"/>
        <v>0</v>
      </c>
    </row>
    <row r="73" ht="15.75" customHeight="1">
      <c r="A73" s="23" t="str">
        <f t="shared" si="8"/>
        <v/>
      </c>
      <c r="B73" s="15"/>
      <c r="C73" s="15"/>
      <c r="D73" s="15"/>
      <c r="E73" s="15"/>
      <c r="F73" s="15"/>
      <c r="G73" s="15"/>
      <c r="H73" s="15"/>
      <c r="I73" s="15"/>
      <c r="J73" s="15"/>
      <c r="K73" s="15"/>
      <c r="L73" s="15"/>
      <c r="M73" s="15"/>
      <c r="N73" s="15"/>
      <c r="O73" s="15"/>
      <c r="P73" s="15"/>
      <c r="Q73" s="15"/>
      <c r="R73" s="15"/>
      <c r="S73" s="15"/>
      <c r="T73" s="15"/>
      <c r="U73" s="15"/>
      <c r="V73" s="24">
        <f t="shared" si="9"/>
        <v>0</v>
      </c>
    </row>
    <row r="74" ht="15.75" customHeight="1">
      <c r="A74" s="23" t="str">
        <f t="shared" si="8"/>
        <v/>
      </c>
      <c r="B74" s="15"/>
      <c r="C74" s="15"/>
      <c r="D74" s="15"/>
      <c r="E74" s="15"/>
      <c r="F74" s="15"/>
      <c r="G74" s="15"/>
      <c r="H74" s="15"/>
      <c r="I74" s="15"/>
      <c r="J74" s="15"/>
      <c r="K74" s="15"/>
      <c r="L74" s="15"/>
      <c r="M74" s="15"/>
      <c r="N74" s="15"/>
      <c r="O74" s="15"/>
      <c r="P74" s="15"/>
      <c r="Q74" s="15"/>
      <c r="R74" s="15"/>
      <c r="S74" s="15"/>
      <c r="T74" s="15"/>
      <c r="U74" s="15"/>
      <c r="V74" s="24">
        <f t="shared" si="9"/>
        <v>0</v>
      </c>
    </row>
    <row r="75" ht="15.75" customHeight="1">
      <c r="A75" s="23" t="str">
        <f t="shared" si="8"/>
        <v/>
      </c>
      <c r="B75" s="15"/>
      <c r="C75" s="15"/>
      <c r="D75" s="15"/>
      <c r="E75" s="15"/>
      <c r="F75" s="15"/>
      <c r="G75" s="15"/>
      <c r="H75" s="15"/>
      <c r="I75" s="15"/>
      <c r="J75" s="15"/>
      <c r="K75" s="15"/>
      <c r="L75" s="15"/>
      <c r="M75" s="15"/>
      <c r="N75" s="15"/>
      <c r="O75" s="15"/>
      <c r="P75" s="15"/>
      <c r="Q75" s="15"/>
      <c r="R75" s="15"/>
      <c r="S75" s="15"/>
      <c r="T75" s="15"/>
      <c r="U75" s="15"/>
      <c r="V75" s="24">
        <f t="shared" si="9"/>
        <v>0</v>
      </c>
    </row>
    <row r="76" ht="15.75" customHeight="1">
      <c r="A76" s="23" t="str">
        <f t="shared" si="8"/>
        <v/>
      </c>
      <c r="B76" s="15"/>
      <c r="C76" s="15"/>
      <c r="D76" s="15"/>
      <c r="E76" s="15"/>
      <c r="F76" s="15"/>
      <c r="G76" s="15"/>
      <c r="H76" s="15"/>
      <c r="I76" s="15"/>
      <c r="J76" s="15"/>
      <c r="K76" s="15"/>
      <c r="L76" s="15"/>
      <c r="M76" s="15"/>
      <c r="N76" s="15"/>
      <c r="O76" s="15"/>
      <c r="P76" s="15"/>
      <c r="Q76" s="15"/>
      <c r="R76" s="15"/>
      <c r="S76" s="15"/>
      <c r="T76" s="15"/>
      <c r="U76" s="15"/>
      <c r="V76" s="24">
        <f t="shared" si="9"/>
        <v>0</v>
      </c>
    </row>
    <row r="77" ht="15.75" customHeight="1">
      <c r="A77" s="7" t="s">
        <v>144</v>
      </c>
      <c r="V77" s="24">
        <f>SUM(V49:V76)</f>
        <v>29</v>
      </c>
    </row>
    <row r="78" ht="15.75" customHeight="1"/>
    <row r="79" ht="15.75" customHeight="1">
      <c r="A79" s="21" t="s">
        <v>148</v>
      </c>
      <c r="B79" s="22" t="s">
        <v>41</v>
      </c>
      <c r="C79" s="22" t="s">
        <v>42</v>
      </c>
      <c r="D79" s="22" t="s">
        <v>43</v>
      </c>
      <c r="E79" s="22" t="s">
        <v>44</v>
      </c>
      <c r="F79" s="22" t="s">
        <v>45</v>
      </c>
      <c r="G79" s="22" t="s">
        <v>46</v>
      </c>
      <c r="H79" s="22" t="s">
        <v>47</v>
      </c>
      <c r="I79" s="22" t="s">
        <v>48</v>
      </c>
      <c r="J79" s="22" t="s">
        <v>49</v>
      </c>
      <c r="K79" s="22" t="s">
        <v>50</v>
      </c>
      <c r="L79" s="22" t="s">
        <v>51</v>
      </c>
      <c r="M79" s="22" t="s">
        <v>52</v>
      </c>
      <c r="N79" s="22" t="s">
        <v>53</v>
      </c>
      <c r="O79" s="22" t="s">
        <v>54</v>
      </c>
      <c r="P79" s="22" t="s">
        <v>55</v>
      </c>
      <c r="Q79" s="22" t="s">
        <v>56</v>
      </c>
      <c r="R79" s="22" t="s">
        <v>57</v>
      </c>
      <c r="S79" s="22" t="s">
        <v>58</v>
      </c>
      <c r="T79" s="22" t="s">
        <v>59</v>
      </c>
      <c r="U79" s="22" t="s">
        <v>60</v>
      </c>
      <c r="V79" s="22" t="s">
        <v>149</v>
      </c>
    </row>
    <row r="80" ht="15.75" customHeight="1">
      <c r="A80" s="23" t="str">
        <f t="shared" ref="A80:A107" si="10">IF($A18="","",$A18)</f>
        <v>Ahmed</v>
      </c>
      <c r="B80" s="15"/>
      <c r="C80" s="15"/>
      <c r="D80" s="15"/>
      <c r="E80" s="15"/>
      <c r="F80" s="15"/>
      <c r="G80" s="15"/>
      <c r="H80" s="15"/>
      <c r="I80" s="15"/>
      <c r="J80" s="15"/>
      <c r="K80" s="15"/>
      <c r="L80" s="15"/>
      <c r="M80" s="15"/>
      <c r="N80" s="15"/>
      <c r="O80" s="15"/>
      <c r="P80" s="15"/>
      <c r="Q80" s="15"/>
      <c r="R80" s="15"/>
      <c r="S80" s="15"/>
      <c r="T80" s="15"/>
      <c r="U80" s="15"/>
      <c r="V80" s="24">
        <f t="shared" ref="V80:V107" si="11">SUMPRODUCT(B80:U80*($B$16:$U$16=""))</f>
        <v>0</v>
      </c>
    </row>
    <row r="81" ht="15.75" customHeight="1">
      <c r="A81" s="23" t="str">
        <f t="shared" si="10"/>
        <v>Alex Ruben</v>
      </c>
      <c r="B81" s="15"/>
      <c r="C81" s="15"/>
      <c r="D81" s="15"/>
      <c r="E81" s="15"/>
      <c r="F81" s="15"/>
      <c r="G81" s="15"/>
      <c r="H81" s="15"/>
      <c r="I81" s="15"/>
      <c r="J81" s="15"/>
      <c r="K81" s="15"/>
      <c r="L81" s="15"/>
      <c r="M81" s="15"/>
      <c r="N81" s="15"/>
      <c r="O81" s="15"/>
      <c r="P81" s="15"/>
      <c r="Q81" s="15"/>
      <c r="R81" s="15"/>
      <c r="S81" s="15"/>
      <c r="T81" s="15"/>
      <c r="U81" s="15"/>
      <c r="V81" s="24">
        <f t="shared" si="11"/>
        <v>0</v>
      </c>
    </row>
    <row r="82" ht="15.75" customHeight="1">
      <c r="A82" s="23" t="str">
        <f t="shared" si="10"/>
        <v>Andy Cowan</v>
      </c>
      <c r="B82" s="15"/>
      <c r="C82" s="15"/>
      <c r="D82" s="15"/>
      <c r="E82" s="15"/>
      <c r="F82" s="15"/>
      <c r="G82" s="15"/>
      <c r="H82" s="15"/>
      <c r="I82" s="15"/>
      <c r="J82" s="15"/>
      <c r="K82" s="15"/>
      <c r="L82" s="15"/>
      <c r="M82" s="15"/>
      <c r="N82" s="15"/>
      <c r="O82" s="15"/>
      <c r="P82" s="15"/>
      <c r="Q82" s="15"/>
      <c r="R82" s="15"/>
      <c r="S82" s="15"/>
      <c r="T82" s="15"/>
      <c r="U82" s="15"/>
      <c r="V82" s="24">
        <f t="shared" si="11"/>
        <v>0</v>
      </c>
    </row>
    <row r="83" ht="15.75" customHeight="1">
      <c r="A83" s="23" t="str">
        <f t="shared" si="10"/>
        <v>Ben Merrett</v>
      </c>
      <c r="B83" s="15"/>
      <c r="C83" s="15"/>
      <c r="D83" s="15"/>
      <c r="E83" s="15"/>
      <c r="F83" s="15"/>
      <c r="G83" s="15"/>
      <c r="H83" s="15"/>
      <c r="I83" s="15"/>
      <c r="J83" s="15"/>
      <c r="K83" s="15"/>
      <c r="L83" s="15"/>
      <c r="M83" s="15"/>
      <c r="N83" s="15"/>
      <c r="O83" s="15"/>
      <c r="P83" s="15"/>
      <c r="Q83" s="15"/>
      <c r="R83" s="15"/>
      <c r="S83" s="15"/>
      <c r="T83" s="15"/>
      <c r="U83" s="15"/>
      <c r="V83" s="24">
        <f t="shared" si="11"/>
        <v>0</v>
      </c>
    </row>
    <row r="84" ht="15.75" customHeight="1">
      <c r="A84" s="23" t="str">
        <f t="shared" si="10"/>
        <v>Callum McCarthy</v>
      </c>
      <c r="B84" s="15"/>
      <c r="C84" s="15"/>
      <c r="D84" s="15"/>
      <c r="E84" s="15"/>
      <c r="F84" s="15"/>
      <c r="G84" s="15"/>
      <c r="H84" s="15"/>
      <c r="I84" s="15"/>
      <c r="J84" s="15"/>
      <c r="K84" s="15"/>
      <c r="L84" s="15"/>
      <c r="M84" s="15"/>
      <c r="N84" s="15"/>
      <c r="O84" s="15"/>
      <c r="P84" s="15"/>
      <c r="Q84" s="15"/>
      <c r="R84" s="15"/>
      <c r="S84" s="15"/>
      <c r="T84" s="15"/>
      <c r="U84" s="15"/>
      <c r="V84" s="24">
        <f t="shared" si="11"/>
        <v>0</v>
      </c>
    </row>
    <row r="85" ht="15.75" customHeight="1">
      <c r="A85" s="23" t="str">
        <f t="shared" si="10"/>
        <v>Cecil Watson</v>
      </c>
      <c r="B85" s="15"/>
      <c r="C85" s="15"/>
      <c r="D85" s="15"/>
      <c r="E85" s="15"/>
      <c r="F85" s="15"/>
      <c r="G85" s="15"/>
      <c r="H85" s="15"/>
      <c r="I85" s="15"/>
      <c r="J85" s="15"/>
      <c r="K85" s="15"/>
      <c r="L85" s="15"/>
      <c r="M85" s="15"/>
      <c r="N85" s="15"/>
      <c r="O85" s="15"/>
      <c r="P85" s="15"/>
      <c r="Q85" s="15"/>
      <c r="R85" s="15"/>
      <c r="S85" s="15"/>
      <c r="T85" s="15"/>
      <c r="U85" s="15"/>
      <c r="V85" s="24">
        <f t="shared" si="11"/>
        <v>0</v>
      </c>
    </row>
    <row r="86" ht="15.75" customHeight="1">
      <c r="A86" s="23" t="str">
        <f t="shared" si="10"/>
        <v>Conall Templeman</v>
      </c>
      <c r="B86" s="15"/>
      <c r="C86" s="15"/>
      <c r="D86" s="15"/>
      <c r="E86" s="15"/>
      <c r="F86" s="15"/>
      <c r="G86" s="15"/>
      <c r="H86" s="15"/>
      <c r="I86" s="15"/>
      <c r="J86" s="15"/>
      <c r="K86" s="15"/>
      <c r="L86" s="15"/>
      <c r="M86" s="15"/>
      <c r="N86" s="15"/>
      <c r="O86" s="15"/>
      <c r="P86" s="15"/>
      <c r="Q86" s="15"/>
      <c r="R86" s="15"/>
      <c r="S86" s="15"/>
      <c r="T86" s="15"/>
      <c r="U86" s="15"/>
      <c r="V86" s="24">
        <f t="shared" si="11"/>
        <v>0</v>
      </c>
    </row>
    <row r="87" ht="15.75" customHeight="1">
      <c r="A87" s="23" t="str">
        <f t="shared" si="10"/>
        <v>Eddie Ringer</v>
      </c>
      <c r="B87" s="15"/>
      <c r="C87" s="15"/>
      <c r="D87" s="15"/>
      <c r="E87" s="15"/>
      <c r="F87" s="15"/>
      <c r="G87" s="15"/>
      <c r="H87" s="15"/>
      <c r="I87" s="15"/>
      <c r="J87" s="15"/>
      <c r="K87" s="15"/>
      <c r="L87" s="15"/>
      <c r="M87" s="15"/>
      <c r="N87" s="15"/>
      <c r="O87" s="15"/>
      <c r="P87" s="15"/>
      <c r="Q87" s="15"/>
      <c r="R87" s="15"/>
      <c r="S87" s="15"/>
      <c r="T87" s="15"/>
      <c r="U87" s="15"/>
      <c r="V87" s="24">
        <f t="shared" si="11"/>
        <v>0</v>
      </c>
    </row>
    <row r="88" ht="15.75" customHeight="1">
      <c r="A88" s="23" t="str">
        <f t="shared" si="10"/>
        <v>Finn Cawley</v>
      </c>
      <c r="B88" s="15"/>
      <c r="C88" s="15"/>
      <c r="D88" s="15"/>
      <c r="E88" s="15"/>
      <c r="F88" s="15"/>
      <c r="G88" s="15"/>
      <c r="H88" s="15"/>
      <c r="I88" s="15"/>
      <c r="J88" s="15"/>
      <c r="K88" s="15"/>
      <c r="L88" s="15"/>
      <c r="M88" s="15"/>
      <c r="N88" s="15"/>
      <c r="O88" s="15"/>
      <c r="P88" s="15"/>
      <c r="Q88" s="15"/>
      <c r="R88" s="15"/>
      <c r="S88" s="15"/>
      <c r="T88" s="15"/>
      <c r="U88" s="15"/>
      <c r="V88" s="24">
        <f t="shared" si="11"/>
        <v>0</v>
      </c>
    </row>
    <row r="89" ht="15.75" customHeight="1">
      <c r="A89" s="23" t="str">
        <f t="shared" si="10"/>
        <v>George Barbantan</v>
      </c>
      <c r="B89" s="15"/>
      <c r="C89" s="15"/>
      <c r="D89" s="15"/>
      <c r="E89" s="15"/>
      <c r="F89" s="15"/>
      <c r="G89" s="15"/>
      <c r="H89" s="15"/>
      <c r="I89" s="15"/>
      <c r="J89" s="15"/>
      <c r="K89" s="15"/>
      <c r="L89" s="15"/>
      <c r="M89" s="15"/>
      <c r="N89" s="15"/>
      <c r="O89" s="15"/>
      <c r="P89" s="15"/>
      <c r="Q89" s="15"/>
      <c r="R89" s="15"/>
      <c r="S89" s="15"/>
      <c r="T89" s="15"/>
      <c r="U89" s="15"/>
      <c r="V89" s="24">
        <f t="shared" si="11"/>
        <v>0</v>
      </c>
    </row>
    <row r="90" ht="15.75" customHeight="1">
      <c r="A90" s="23" t="str">
        <f t="shared" si="10"/>
        <v>Henry Linklater</v>
      </c>
      <c r="B90" s="15"/>
      <c r="C90" s="15"/>
      <c r="D90" s="15"/>
      <c r="E90" s="15"/>
      <c r="F90" s="15"/>
      <c r="G90" s="15"/>
      <c r="H90" s="15"/>
      <c r="I90" s="15"/>
      <c r="J90" s="15"/>
      <c r="K90" s="15"/>
      <c r="L90" s="15"/>
      <c r="M90" s="15"/>
      <c r="N90" s="15"/>
      <c r="O90" s="15"/>
      <c r="P90" s="15"/>
      <c r="Q90" s="15"/>
      <c r="R90" s="15"/>
      <c r="S90" s="15"/>
      <c r="T90" s="15"/>
      <c r="U90" s="15"/>
      <c r="V90" s="24">
        <f t="shared" si="11"/>
        <v>0</v>
      </c>
    </row>
    <row r="91" ht="15.75" customHeight="1">
      <c r="A91" s="23" t="str">
        <f t="shared" si="10"/>
        <v>Isaac Mond</v>
      </c>
      <c r="B91" s="15"/>
      <c r="C91" s="15"/>
      <c r="D91" s="15"/>
      <c r="E91" s="15"/>
      <c r="F91" s="15"/>
      <c r="G91" s="15"/>
      <c r="H91" s="15"/>
      <c r="I91" s="15"/>
      <c r="J91" s="15"/>
      <c r="K91" s="15"/>
      <c r="L91" s="15"/>
      <c r="M91" s="15"/>
      <c r="N91" s="15"/>
      <c r="O91" s="15"/>
      <c r="P91" s="15"/>
      <c r="Q91" s="15"/>
      <c r="R91" s="15"/>
      <c r="S91" s="15"/>
      <c r="T91" s="15"/>
      <c r="U91" s="15"/>
      <c r="V91" s="24">
        <f t="shared" si="11"/>
        <v>0</v>
      </c>
    </row>
    <row r="92" ht="15.75" customHeight="1">
      <c r="A92" s="23" t="str">
        <f t="shared" si="10"/>
        <v>Jake Harrison</v>
      </c>
      <c r="B92" s="15"/>
      <c r="C92" s="15"/>
      <c r="D92" s="15"/>
      <c r="E92" s="15"/>
      <c r="F92" s="15"/>
      <c r="G92" s="15"/>
      <c r="H92" s="15"/>
      <c r="I92" s="15"/>
      <c r="J92" s="15"/>
      <c r="K92" s="15"/>
      <c r="L92" s="15"/>
      <c r="M92" s="15"/>
      <c r="N92" s="15"/>
      <c r="O92" s="15"/>
      <c r="P92" s="15"/>
      <c r="Q92" s="15"/>
      <c r="R92" s="15"/>
      <c r="S92" s="15"/>
      <c r="T92" s="15"/>
      <c r="U92" s="15"/>
      <c r="V92" s="24">
        <f t="shared" si="11"/>
        <v>0</v>
      </c>
    </row>
    <row r="93" ht="15.75" customHeight="1">
      <c r="A93" s="23" t="str">
        <f t="shared" si="10"/>
        <v>Jake Ringer</v>
      </c>
      <c r="B93" s="15"/>
      <c r="C93" s="15"/>
      <c r="D93" s="15"/>
      <c r="E93" s="15"/>
      <c r="F93" s="15"/>
      <c r="G93" s="15"/>
      <c r="H93" s="15"/>
      <c r="I93" s="15"/>
      <c r="J93" s="15"/>
      <c r="K93" s="15"/>
      <c r="L93" s="15"/>
      <c r="M93" s="15"/>
      <c r="N93" s="15"/>
      <c r="O93" s="15"/>
      <c r="P93" s="15"/>
      <c r="Q93" s="15"/>
      <c r="R93" s="15"/>
      <c r="S93" s="15"/>
      <c r="T93" s="15"/>
      <c r="U93" s="15"/>
      <c r="V93" s="24">
        <f t="shared" si="11"/>
        <v>0</v>
      </c>
    </row>
    <row r="94" ht="15.75" customHeight="1">
      <c r="A94" s="23" t="str">
        <f t="shared" si="10"/>
        <v>Keshav Singh</v>
      </c>
      <c r="B94" s="15"/>
      <c r="C94" s="15"/>
      <c r="D94" s="15"/>
      <c r="E94" s="15"/>
      <c r="F94" s="15"/>
      <c r="G94" s="15"/>
      <c r="H94" s="15"/>
      <c r="I94" s="15"/>
      <c r="J94" s="15"/>
      <c r="K94" s="15"/>
      <c r="L94" s="15"/>
      <c r="M94" s="15"/>
      <c r="N94" s="15"/>
      <c r="O94" s="15"/>
      <c r="P94" s="15"/>
      <c r="Q94" s="15"/>
      <c r="R94" s="15"/>
      <c r="S94" s="15"/>
      <c r="T94" s="15"/>
      <c r="U94" s="15"/>
      <c r="V94" s="24">
        <f t="shared" si="11"/>
        <v>0</v>
      </c>
    </row>
    <row r="95" ht="15.75" customHeight="1">
      <c r="A95" s="23" t="str">
        <f t="shared" si="10"/>
        <v>Mark Pellowe</v>
      </c>
      <c r="B95" s="15"/>
      <c r="C95" s="15"/>
      <c r="D95" s="15"/>
      <c r="E95" s="15"/>
      <c r="F95" s="15"/>
      <c r="G95" s="15"/>
      <c r="H95" s="15"/>
      <c r="I95" s="15"/>
      <c r="J95" s="15"/>
      <c r="K95" s="15"/>
      <c r="L95" s="15"/>
      <c r="M95" s="15"/>
      <c r="N95" s="15"/>
      <c r="O95" s="15"/>
      <c r="P95" s="15"/>
      <c r="Q95" s="15"/>
      <c r="R95" s="15"/>
      <c r="S95" s="15"/>
      <c r="T95" s="15"/>
      <c r="U95" s="15"/>
      <c r="V95" s="24">
        <f t="shared" si="11"/>
        <v>0</v>
      </c>
    </row>
    <row r="96" ht="15.75" customHeight="1">
      <c r="A96" s="23" t="str">
        <f t="shared" si="10"/>
        <v>Max Cobain</v>
      </c>
      <c r="B96" s="15"/>
      <c r="C96" s="15"/>
      <c r="D96" s="15"/>
      <c r="E96" s="15"/>
      <c r="F96" s="15"/>
      <c r="G96" s="15"/>
      <c r="H96" s="15"/>
      <c r="I96" s="15"/>
      <c r="J96" s="15"/>
      <c r="K96" s="15"/>
      <c r="L96" s="15"/>
      <c r="M96" s="15"/>
      <c r="N96" s="15"/>
      <c r="O96" s="15"/>
      <c r="P96" s="15"/>
      <c r="Q96" s="15"/>
      <c r="R96" s="15"/>
      <c r="S96" s="15"/>
      <c r="T96" s="15"/>
      <c r="U96" s="15"/>
      <c r="V96" s="24">
        <f t="shared" si="11"/>
        <v>0</v>
      </c>
    </row>
    <row r="97" ht="15.75" customHeight="1">
      <c r="A97" s="23" t="str">
        <f t="shared" si="10"/>
        <v>Neeraj Radia</v>
      </c>
      <c r="B97" s="15"/>
      <c r="C97" s="15"/>
      <c r="D97" s="15"/>
      <c r="E97" s="15"/>
      <c r="F97" s="15"/>
      <c r="G97" s="15"/>
      <c r="H97" s="15"/>
      <c r="I97" s="15"/>
      <c r="J97" s="15"/>
      <c r="K97" s="15"/>
      <c r="L97" s="15"/>
      <c r="M97" s="15"/>
      <c r="N97" s="15"/>
      <c r="O97" s="15"/>
      <c r="P97" s="15"/>
      <c r="Q97" s="15"/>
      <c r="R97" s="15"/>
      <c r="S97" s="15"/>
      <c r="T97" s="15"/>
      <c r="U97" s="15"/>
      <c r="V97" s="24">
        <f t="shared" si="11"/>
        <v>0</v>
      </c>
    </row>
    <row r="98" ht="15.75" customHeight="1">
      <c r="A98" s="23" t="str">
        <f t="shared" si="10"/>
        <v>Phil Knott</v>
      </c>
      <c r="B98" s="15"/>
      <c r="C98" s="15"/>
      <c r="D98" s="15"/>
      <c r="E98" s="15"/>
      <c r="F98" s="15"/>
      <c r="G98" s="15"/>
      <c r="H98" s="15"/>
      <c r="I98" s="15"/>
      <c r="J98" s="15"/>
      <c r="K98" s="15"/>
      <c r="L98" s="15"/>
      <c r="M98" s="15"/>
      <c r="N98" s="15"/>
      <c r="O98" s="15"/>
      <c r="P98" s="15"/>
      <c r="Q98" s="15"/>
      <c r="R98" s="15"/>
      <c r="S98" s="15"/>
      <c r="T98" s="15"/>
      <c r="U98" s="15"/>
      <c r="V98" s="24">
        <f t="shared" si="11"/>
        <v>0</v>
      </c>
    </row>
    <row r="99" ht="15.75" customHeight="1">
      <c r="A99" s="23" t="str">
        <f t="shared" si="10"/>
        <v>Robin</v>
      </c>
      <c r="B99" s="15"/>
      <c r="C99" s="15"/>
      <c r="D99" s="15"/>
      <c r="E99" s="15"/>
      <c r="F99" s="15"/>
      <c r="G99" s="15"/>
      <c r="H99" s="15"/>
      <c r="I99" s="15"/>
      <c r="J99" s="15"/>
      <c r="K99" s="15"/>
      <c r="L99" s="15"/>
      <c r="M99" s="15"/>
      <c r="N99" s="15"/>
      <c r="O99" s="15"/>
      <c r="P99" s="15"/>
      <c r="Q99" s="15"/>
      <c r="R99" s="15"/>
      <c r="S99" s="15"/>
      <c r="T99" s="15"/>
      <c r="U99" s="15"/>
      <c r="V99" s="24">
        <f t="shared" si="11"/>
        <v>0</v>
      </c>
    </row>
    <row r="100" ht="15.75" customHeight="1">
      <c r="A100" s="23" t="str">
        <f t="shared" si="10"/>
        <v>Sam Holt</v>
      </c>
      <c r="B100" s="15"/>
      <c r="C100" s="15"/>
      <c r="D100" s="15"/>
      <c r="E100" s="15"/>
      <c r="F100" s="15"/>
      <c r="G100" s="15"/>
      <c r="H100" s="15"/>
      <c r="I100" s="15"/>
      <c r="J100" s="15"/>
      <c r="K100" s="15"/>
      <c r="L100" s="15"/>
      <c r="M100" s="15"/>
      <c r="N100" s="15"/>
      <c r="O100" s="15"/>
      <c r="P100" s="15"/>
      <c r="Q100" s="15"/>
      <c r="R100" s="15"/>
      <c r="S100" s="15"/>
      <c r="T100" s="15"/>
      <c r="U100" s="15"/>
      <c r="V100" s="24">
        <f t="shared" si="11"/>
        <v>0</v>
      </c>
    </row>
    <row r="101" ht="15.75" customHeight="1">
      <c r="A101" s="23" t="str">
        <f t="shared" si="10"/>
        <v>Seb Burgess</v>
      </c>
      <c r="B101" s="15"/>
      <c r="C101" s="15"/>
      <c r="D101" s="15"/>
      <c r="E101" s="15"/>
      <c r="F101" s="15"/>
      <c r="G101" s="15"/>
      <c r="H101" s="15"/>
      <c r="I101" s="15"/>
      <c r="J101" s="15"/>
      <c r="K101" s="15"/>
      <c r="L101" s="15"/>
      <c r="M101" s="15"/>
      <c r="N101" s="15"/>
      <c r="O101" s="15"/>
      <c r="P101" s="15"/>
      <c r="Q101" s="15"/>
      <c r="R101" s="15"/>
      <c r="S101" s="15"/>
      <c r="T101" s="15"/>
      <c r="U101" s="15"/>
      <c r="V101" s="24">
        <f t="shared" si="11"/>
        <v>0</v>
      </c>
    </row>
    <row r="102" ht="15.75" customHeight="1">
      <c r="A102" s="23" t="str">
        <f t="shared" si="10"/>
        <v/>
      </c>
      <c r="B102" s="15"/>
      <c r="C102" s="15"/>
      <c r="D102" s="15"/>
      <c r="E102" s="15"/>
      <c r="F102" s="15"/>
      <c r="G102" s="15"/>
      <c r="H102" s="15"/>
      <c r="I102" s="15"/>
      <c r="J102" s="15"/>
      <c r="K102" s="15"/>
      <c r="L102" s="15"/>
      <c r="M102" s="15"/>
      <c r="N102" s="15"/>
      <c r="O102" s="15"/>
      <c r="P102" s="15"/>
      <c r="Q102" s="15"/>
      <c r="R102" s="15"/>
      <c r="S102" s="15"/>
      <c r="T102" s="15"/>
      <c r="U102" s="15"/>
      <c r="V102" s="24">
        <f t="shared" si="11"/>
        <v>0</v>
      </c>
    </row>
    <row r="103" ht="15.75" customHeight="1">
      <c r="A103" s="23" t="str">
        <f t="shared" si="10"/>
        <v/>
      </c>
      <c r="B103" s="15"/>
      <c r="C103" s="15"/>
      <c r="D103" s="15"/>
      <c r="E103" s="15"/>
      <c r="F103" s="15"/>
      <c r="G103" s="15"/>
      <c r="H103" s="15"/>
      <c r="I103" s="15"/>
      <c r="J103" s="15"/>
      <c r="K103" s="15"/>
      <c r="L103" s="15"/>
      <c r="M103" s="15"/>
      <c r="N103" s="15"/>
      <c r="O103" s="15"/>
      <c r="P103" s="15"/>
      <c r="Q103" s="15"/>
      <c r="R103" s="15"/>
      <c r="S103" s="15"/>
      <c r="T103" s="15"/>
      <c r="U103" s="15"/>
      <c r="V103" s="24">
        <f t="shared" si="11"/>
        <v>0</v>
      </c>
    </row>
    <row r="104" ht="15.75" customHeight="1">
      <c r="A104" s="23" t="str">
        <f t="shared" si="10"/>
        <v/>
      </c>
      <c r="B104" s="15"/>
      <c r="C104" s="15"/>
      <c r="D104" s="15"/>
      <c r="E104" s="15"/>
      <c r="F104" s="15"/>
      <c r="G104" s="15"/>
      <c r="H104" s="15"/>
      <c r="I104" s="15"/>
      <c r="J104" s="15"/>
      <c r="K104" s="15"/>
      <c r="L104" s="15"/>
      <c r="M104" s="15"/>
      <c r="N104" s="15"/>
      <c r="O104" s="15"/>
      <c r="P104" s="15"/>
      <c r="Q104" s="15"/>
      <c r="R104" s="15"/>
      <c r="S104" s="15"/>
      <c r="T104" s="15"/>
      <c r="U104" s="15"/>
      <c r="V104" s="24">
        <f t="shared" si="11"/>
        <v>0</v>
      </c>
    </row>
    <row r="105" ht="15.75" customHeight="1">
      <c r="A105" s="23" t="str">
        <f t="shared" si="10"/>
        <v/>
      </c>
      <c r="B105" s="15"/>
      <c r="C105" s="15"/>
      <c r="D105" s="15"/>
      <c r="E105" s="15"/>
      <c r="F105" s="15"/>
      <c r="G105" s="15"/>
      <c r="H105" s="15"/>
      <c r="I105" s="15"/>
      <c r="J105" s="15"/>
      <c r="K105" s="15"/>
      <c r="L105" s="15"/>
      <c r="M105" s="15"/>
      <c r="N105" s="15"/>
      <c r="O105" s="15"/>
      <c r="P105" s="15"/>
      <c r="Q105" s="15"/>
      <c r="R105" s="15"/>
      <c r="S105" s="15"/>
      <c r="T105" s="15"/>
      <c r="U105" s="15"/>
      <c r="V105" s="24">
        <f t="shared" si="11"/>
        <v>0</v>
      </c>
    </row>
    <row r="106" ht="15.75" customHeight="1">
      <c r="A106" s="23" t="str">
        <f t="shared" si="10"/>
        <v/>
      </c>
      <c r="B106" s="15"/>
      <c r="C106" s="15"/>
      <c r="D106" s="15"/>
      <c r="E106" s="15"/>
      <c r="F106" s="15"/>
      <c r="G106" s="15"/>
      <c r="H106" s="15"/>
      <c r="I106" s="15"/>
      <c r="J106" s="15"/>
      <c r="K106" s="15"/>
      <c r="L106" s="15"/>
      <c r="M106" s="15"/>
      <c r="N106" s="15"/>
      <c r="O106" s="15"/>
      <c r="P106" s="15"/>
      <c r="Q106" s="15"/>
      <c r="R106" s="15"/>
      <c r="S106" s="15"/>
      <c r="T106" s="15"/>
      <c r="U106" s="15"/>
      <c r="V106" s="24">
        <f t="shared" si="11"/>
        <v>0</v>
      </c>
    </row>
    <row r="107" ht="15.75" customHeight="1">
      <c r="A107" s="23" t="str">
        <f t="shared" si="10"/>
        <v/>
      </c>
      <c r="B107" s="15"/>
      <c r="C107" s="15"/>
      <c r="D107" s="15"/>
      <c r="E107" s="15"/>
      <c r="F107" s="15"/>
      <c r="G107" s="15"/>
      <c r="H107" s="15"/>
      <c r="I107" s="15"/>
      <c r="J107" s="15"/>
      <c r="K107" s="15"/>
      <c r="L107" s="15"/>
      <c r="M107" s="15"/>
      <c r="N107" s="15"/>
      <c r="O107" s="15"/>
      <c r="P107" s="15"/>
      <c r="Q107" s="15"/>
      <c r="R107" s="15"/>
      <c r="S107" s="15"/>
      <c r="T107" s="15"/>
      <c r="U107" s="15"/>
      <c r="V107" s="24">
        <f t="shared" si="11"/>
        <v>0</v>
      </c>
    </row>
    <row r="108" ht="15.75" customHeight="1">
      <c r="A108" s="7" t="s">
        <v>144</v>
      </c>
      <c r="V108" s="24">
        <f>SUM(V80:V107)</f>
        <v>0</v>
      </c>
    </row>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6.0"/>
    <col customWidth="1" min="2" max="25" width="12.0"/>
    <col customWidth="1" min="26" max="26" width="8.71"/>
  </cols>
  <sheetData>
    <row r="1">
      <c r="A1" s="4" t="s">
        <v>172</v>
      </c>
      <c r="B1" s="5"/>
      <c r="C1" s="5"/>
      <c r="D1" s="5"/>
      <c r="E1" s="5"/>
      <c r="F1" s="5"/>
      <c r="G1" s="5"/>
      <c r="H1" s="5"/>
      <c r="I1" s="5"/>
      <c r="J1" s="5"/>
      <c r="K1" s="5"/>
      <c r="L1" s="5"/>
      <c r="M1" s="5"/>
      <c r="N1" s="5"/>
      <c r="O1" s="5"/>
      <c r="P1" s="5"/>
      <c r="Q1" s="5"/>
      <c r="R1" s="5"/>
      <c r="S1" s="5"/>
      <c r="T1" s="5"/>
      <c r="U1" s="5"/>
      <c r="V1" s="5"/>
      <c r="W1" s="5"/>
      <c r="X1" s="5"/>
      <c r="Y1" s="5"/>
    </row>
    <row r="2">
      <c r="A2" s="6" t="s">
        <v>40</v>
      </c>
      <c r="B2" s="6" t="s">
        <v>41</v>
      </c>
      <c r="C2" s="6" t="s">
        <v>42</v>
      </c>
      <c r="D2" s="6" t="s">
        <v>43</v>
      </c>
      <c r="E2" s="6" t="s">
        <v>44</v>
      </c>
      <c r="F2" s="6" t="s">
        <v>45</v>
      </c>
      <c r="G2" s="6" t="s">
        <v>46</v>
      </c>
      <c r="H2" s="6" t="s">
        <v>47</v>
      </c>
      <c r="I2" s="6" t="s">
        <v>48</v>
      </c>
      <c r="J2" s="6" t="s">
        <v>49</v>
      </c>
      <c r="K2" s="6" t="s">
        <v>50</v>
      </c>
      <c r="L2" s="6" t="s">
        <v>51</v>
      </c>
      <c r="M2" s="6" t="s">
        <v>52</v>
      </c>
      <c r="N2" s="6" t="s">
        <v>53</v>
      </c>
      <c r="O2" s="6" t="s">
        <v>54</v>
      </c>
      <c r="P2" s="6" t="s">
        <v>55</v>
      </c>
      <c r="Q2" s="6" t="s">
        <v>56</v>
      </c>
      <c r="R2" s="6" t="s">
        <v>57</v>
      </c>
      <c r="S2" s="6" t="s">
        <v>58</v>
      </c>
      <c r="T2" s="6" t="s">
        <v>59</v>
      </c>
      <c r="U2" s="6" t="s">
        <v>60</v>
      </c>
      <c r="X2" s="7" t="s">
        <v>61</v>
      </c>
    </row>
    <row r="3">
      <c r="A3" s="8" t="s">
        <v>62</v>
      </c>
      <c r="B3" s="9">
        <v>46266.0</v>
      </c>
      <c r="C3" s="9">
        <v>46273.0</v>
      </c>
      <c r="D3" s="9">
        <v>46280.0</v>
      </c>
      <c r="E3" s="9">
        <v>46287.0</v>
      </c>
      <c r="F3" s="9">
        <v>46294.0</v>
      </c>
      <c r="G3" s="9">
        <v>46301.0</v>
      </c>
      <c r="H3" s="9">
        <v>46308.0</v>
      </c>
      <c r="I3" s="9">
        <v>46315.0</v>
      </c>
      <c r="J3" s="9">
        <v>46322.0</v>
      </c>
      <c r="K3" s="9">
        <v>46329.0</v>
      </c>
      <c r="L3" s="9">
        <v>46336.0</v>
      </c>
      <c r="M3" s="9">
        <v>46343.0</v>
      </c>
      <c r="N3" s="9">
        <v>46350.0</v>
      </c>
      <c r="O3" s="9">
        <v>46357.0</v>
      </c>
      <c r="P3" s="9">
        <v>46364.0</v>
      </c>
      <c r="Q3" s="9">
        <v>46371.0</v>
      </c>
      <c r="R3" s="9">
        <v>46392.0</v>
      </c>
      <c r="S3" s="9">
        <v>46399.0</v>
      </c>
      <c r="T3" s="9"/>
      <c r="U3" s="9"/>
      <c r="X3" s="7" t="s">
        <v>63</v>
      </c>
      <c r="Y3" s="10">
        <f>Y4+Y5+Y6</f>
        <v>1</v>
      </c>
    </row>
    <row r="4">
      <c r="A4" s="8" t="s">
        <v>64</v>
      </c>
      <c r="B4" s="11">
        <v>0.815972222222222</v>
      </c>
      <c r="C4" s="11">
        <v>0.84375</v>
      </c>
      <c r="D4" s="11">
        <v>0.760416666666667</v>
      </c>
      <c r="E4" s="11">
        <v>0.871527777777778</v>
      </c>
      <c r="F4" s="11">
        <v>0.760416666666667</v>
      </c>
      <c r="G4" s="11">
        <v>0.760416666666667</v>
      </c>
      <c r="H4" s="11">
        <v>0.871527777777778</v>
      </c>
      <c r="I4" s="11">
        <v>0.871527777777778</v>
      </c>
      <c r="J4" s="11">
        <v>0.788194444444444</v>
      </c>
      <c r="K4" s="11">
        <v>0.815972222222222</v>
      </c>
      <c r="L4" s="11">
        <v>0.760416666666667</v>
      </c>
      <c r="M4" s="11">
        <v>0.84375</v>
      </c>
      <c r="N4" s="11">
        <v>0.84375</v>
      </c>
      <c r="O4" s="11">
        <v>0.84375</v>
      </c>
      <c r="P4" s="11">
        <v>0.788194444444444</v>
      </c>
      <c r="Q4" s="11">
        <v>0.871527777777778</v>
      </c>
      <c r="R4" s="11">
        <v>0.760416666666667</v>
      </c>
      <c r="S4" s="11">
        <v>0.760416666666667</v>
      </c>
      <c r="T4" s="11"/>
      <c r="U4" s="11"/>
      <c r="X4" s="7" t="s">
        <v>65</v>
      </c>
      <c r="Y4" s="10">
        <f>SUMPRODUCT(($B$9:$U$9="W")*($B$16:$U$16=""))</f>
        <v>0</v>
      </c>
    </row>
    <row r="5" ht="27.75" customHeight="1">
      <c r="A5" s="8" t="s">
        <v>66</v>
      </c>
      <c r="B5" s="12" t="s">
        <v>173</v>
      </c>
      <c r="C5" s="12" t="s">
        <v>174</v>
      </c>
      <c r="D5" s="12" t="s">
        <v>175</v>
      </c>
      <c r="E5" s="12" t="s">
        <v>176</v>
      </c>
      <c r="F5" s="12" t="s">
        <v>177</v>
      </c>
      <c r="G5" s="12" t="s">
        <v>178</v>
      </c>
      <c r="H5" s="12" t="s">
        <v>179</v>
      </c>
      <c r="I5" s="12" t="s">
        <v>180</v>
      </c>
      <c r="J5" s="12" t="s">
        <v>181</v>
      </c>
      <c r="K5" s="12" t="s">
        <v>173</v>
      </c>
      <c r="L5" s="12" t="s">
        <v>174</v>
      </c>
      <c r="M5" s="12" t="s">
        <v>175</v>
      </c>
      <c r="N5" s="12" t="s">
        <v>176</v>
      </c>
      <c r="O5" s="12" t="s">
        <v>177</v>
      </c>
      <c r="P5" s="12" t="s">
        <v>178</v>
      </c>
      <c r="Q5" s="12" t="s">
        <v>179</v>
      </c>
      <c r="R5" s="12" t="s">
        <v>180</v>
      </c>
      <c r="S5" s="12" t="s">
        <v>181</v>
      </c>
      <c r="T5" s="12"/>
      <c r="U5" s="12"/>
      <c r="X5" s="7" t="s">
        <v>75</v>
      </c>
      <c r="Y5" s="10">
        <f>SUMPRODUCT(($B$9:$U$9="D")*($B$16:$U$16=""))</f>
        <v>0</v>
      </c>
    </row>
    <row r="6">
      <c r="A6" s="8" t="s">
        <v>79</v>
      </c>
      <c r="B6" s="26">
        <v>5.0</v>
      </c>
      <c r="C6" s="13"/>
      <c r="D6" s="13"/>
      <c r="E6" s="13"/>
      <c r="F6" s="13"/>
      <c r="G6" s="13"/>
      <c r="H6" s="13"/>
      <c r="I6" s="13"/>
      <c r="J6" s="13"/>
      <c r="K6" s="13"/>
      <c r="L6" s="13"/>
      <c r="M6" s="13"/>
      <c r="N6" s="13"/>
      <c r="O6" s="13"/>
      <c r="P6" s="13"/>
      <c r="Q6" s="13"/>
      <c r="R6" s="13"/>
      <c r="S6" s="13"/>
      <c r="T6" s="13"/>
      <c r="U6" s="13"/>
      <c r="X6" s="7" t="s">
        <v>80</v>
      </c>
      <c r="Y6" s="10">
        <f>SUMPRODUCT(($B$9:$U$9="L")*($B$16:$U$16=""))</f>
        <v>1</v>
      </c>
    </row>
    <row r="7">
      <c r="A7" s="8" t="s">
        <v>81</v>
      </c>
      <c r="B7" s="26">
        <v>7.0</v>
      </c>
      <c r="C7" s="13"/>
      <c r="D7" s="13"/>
      <c r="E7" s="13"/>
      <c r="F7" s="13"/>
      <c r="G7" s="13"/>
      <c r="H7" s="13"/>
      <c r="I7" s="13"/>
      <c r="J7" s="13"/>
      <c r="K7" s="13"/>
      <c r="L7" s="13"/>
      <c r="M7" s="13"/>
      <c r="N7" s="13"/>
      <c r="O7" s="13"/>
      <c r="P7" s="13"/>
      <c r="Q7" s="13"/>
      <c r="R7" s="13"/>
      <c r="S7" s="13"/>
      <c r="T7" s="13"/>
      <c r="U7" s="13"/>
      <c r="X7" s="7" t="s">
        <v>82</v>
      </c>
      <c r="Y7" s="10">
        <f>SUMPRODUCT($B$6:$U$6*($B$16:$U$16=""))</f>
        <v>5</v>
      </c>
    </row>
    <row r="8">
      <c r="A8" s="8" t="s">
        <v>83</v>
      </c>
      <c r="B8" s="14" t="str">
        <f t="shared" ref="B8:U8" si="1">IF(COUNT(B6:B7)&lt;2,"",B6&amp;"-"&amp;B7)</f>
        <v>5-7</v>
      </c>
      <c r="C8" s="14" t="str">
        <f t="shared" si="1"/>
        <v/>
      </c>
      <c r="D8" s="14" t="str">
        <f t="shared" si="1"/>
        <v/>
      </c>
      <c r="E8" s="14" t="str">
        <f t="shared" si="1"/>
        <v/>
      </c>
      <c r="F8" s="14" t="str">
        <f t="shared" si="1"/>
        <v/>
      </c>
      <c r="G8" s="14" t="str">
        <f t="shared" si="1"/>
        <v/>
      </c>
      <c r="H8" s="14" t="str">
        <f t="shared" si="1"/>
        <v/>
      </c>
      <c r="I8" s="14" t="str">
        <f t="shared" si="1"/>
        <v/>
      </c>
      <c r="J8" s="14" t="str">
        <f t="shared" si="1"/>
        <v/>
      </c>
      <c r="K8" s="14" t="str">
        <f t="shared" si="1"/>
        <v/>
      </c>
      <c r="L8" s="14" t="str">
        <f t="shared" si="1"/>
        <v/>
      </c>
      <c r="M8" s="14" t="str">
        <f t="shared" si="1"/>
        <v/>
      </c>
      <c r="N8" s="14" t="str">
        <f t="shared" si="1"/>
        <v/>
      </c>
      <c r="O8" s="14" t="str">
        <f t="shared" si="1"/>
        <v/>
      </c>
      <c r="P8" s="14" t="str">
        <f t="shared" si="1"/>
        <v/>
      </c>
      <c r="Q8" s="14" t="str">
        <f t="shared" si="1"/>
        <v/>
      </c>
      <c r="R8" s="14" t="str">
        <f t="shared" si="1"/>
        <v/>
      </c>
      <c r="S8" s="14" t="str">
        <f t="shared" si="1"/>
        <v/>
      </c>
      <c r="T8" s="14" t="str">
        <f t="shared" si="1"/>
        <v/>
      </c>
      <c r="U8" s="14" t="str">
        <f t="shared" si="1"/>
        <v/>
      </c>
      <c r="X8" s="7" t="s">
        <v>94</v>
      </c>
      <c r="Y8" s="10">
        <f>SUMPRODUCT($B$7:$U$7*($B$16:$U$16=""))</f>
        <v>7</v>
      </c>
    </row>
    <row r="9">
      <c r="A9" s="8" t="s">
        <v>95</v>
      </c>
      <c r="B9" s="14" t="str">
        <f t="shared" ref="B9:U9" si="2">IF(COUNT(B6:B7)&lt;2,"",IF(B6&gt;B7,"W",IF(B6&lt;B7,"L","D")))</f>
        <v>L</v>
      </c>
      <c r="C9" s="14" t="str">
        <f t="shared" si="2"/>
        <v/>
      </c>
      <c r="D9" s="14" t="str">
        <f t="shared" si="2"/>
        <v/>
      </c>
      <c r="E9" s="14" t="str">
        <f t="shared" si="2"/>
        <v/>
      </c>
      <c r="F9" s="14" t="str">
        <f t="shared" si="2"/>
        <v/>
      </c>
      <c r="G9" s="14" t="str">
        <f t="shared" si="2"/>
        <v/>
      </c>
      <c r="H9" s="14" t="str">
        <f t="shared" si="2"/>
        <v/>
      </c>
      <c r="I9" s="14" t="str">
        <f t="shared" si="2"/>
        <v/>
      </c>
      <c r="J9" s="14" t="str">
        <f t="shared" si="2"/>
        <v/>
      </c>
      <c r="K9" s="14" t="str">
        <f t="shared" si="2"/>
        <v/>
      </c>
      <c r="L9" s="14" t="str">
        <f t="shared" si="2"/>
        <v/>
      </c>
      <c r="M9" s="14" t="str">
        <f t="shared" si="2"/>
        <v/>
      </c>
      <c r="N9" s="14" t="str">
        <f t="shared" si="2"/>
        <v/>
      </c>
      <c r="O9" s="14" t="str">
        <f t="shared" si="2"/>
        <v/>
      </c>
      <c r="P9" s="14" t="str">
        <f t="shared" si="2"/>
        <v/>
      </c>
      <c r="Q9" s="14" t="str">
        <f t="shared" si="2"/>
        <v/>
      </c>
      <c r="R9" s="14" t="str">
        <f t="shared" si="2"/>
        <v/>
      </c>
      <c r="S9" s="14" t="str">
        <f t="shared" si="2"/>
        <v/>
      </c>
      <c r="T9" s="14" t="str">
        <f t="shared" si="2"/>
        <v/>
      </c>
      <c r="U9" s="14" t="str">
        <f t="shared" si="2"/>
        <v/>
      </c>
      <c r="X9" s="7" t="s">
        <v>96</v>
      </c>
      <c r="Y9" s="10" t="str">
        <f t="array" ref="Y9">IF(MAX($V$49:$V$76)=0,"—",INDEX($A$49:$A$76,MATCH(MAX($V$49:$V$76),$V$49:$V$76,0))&amp;" ("&amp;MAX($V$49:$V$76)&amp;")")</f>
        <v>Seb Burgess (3)</v>
      </c>
    </row>
    <row r="10">
      <c r="A10" s="8" t="s">
        <v>97</v>
      </c>
      <c r="B10" s="15"/>
      <c r="C10" s="15"/>
      <c r="D10" s="15"/>
      <c r="E10" s="15"/>
      <c r="F10" s="15"/>
      <c r="G10" s="15"/>
      <c r="H10" s="15"/>
      <c r="I10" s="15"/>
      <c r="J10" s="15"/>
      <c r="K10" s="15"/>
      <c r="L10" s="15"/>
      <c r="M10" s="15"/>
      <c r="N10" s="15"/>
      <c r="O10" s="15"/>
      <c r="P10" s="15"/>
      <c r="Q10" s="15"/>
      <c r="R10" s="15"/>
      <c r="S10" s="15"/>
      <c r="T10" s="15"/>
      <c r="U10" s="15"/>
      <c r="X10" s="7" t="s">
        <v>106</v>
      </c>
      <c r="Y10" s="10" t="str">
        <f t="array" ref="Y10">IF(MAX($V$18:$V$45)=0,"—",INDEX($A$18:$A$45,MATCH(MAX($V$18:$V$45),$V$18:$V$45,0))&amp;" ("&amp;MAX($V$18:$V$45)&amp;")")</f>
        <v>Ben Merrett (1)</v>
      </c>
    </row>
    <row r="11">
      <c r="A11" s="8" t="s">
        <v>107</v>
      </c>
      <c r="B11" s="15"/>
      <c r="C11" s="15"/>
      <c r="D11" s="15"/>
      <c r="E11" s="15"/>
      <c r="F11" s="15"/>
      <c r="G11" s="15"/>
      <c r="H11" s="15"/>
      <c r="I11" s="15"/>
      <c r="J11" s="15"/>
      <c r="K11" s="15"/>
      <c r="L11" s="15"/>
      <c r="M11" s="15"/>
      <c r="N11" s="15"/>
      <c r="O11" s="15"/>
      <c r="P11" s="15"/>
      <c r="Q11" s="15"/>
      <c r="R11" s="15"/>
      <c r="S11" s="15"/>
      <c r="T11" s="15"/>
      <c r="U11" s="15"/>
      <c r="X11" s="7" t="s">
        <v>108</v>
      </c>
      <c r="Y11" s="16">
        <f>SUM($B$13:$U$13)</f>
        <v>1439.1</v>
      </c>
    </row>
    <row r="12" ht="25.5" customHeight="1">
      <c r="A12" s="8" t="s">
        <v>112</v>
      </c>
      <c r="B12" s="17"/>
      <c r="C12" s="17"/>
      <c r="D12" s="17"/>
      <c r="E12" s="17"/>
      <c r="F12" s="17"/>
      <c r="G12" s="17"/>
      <c r="H12" s="17"/>
      <c r="I12" s="17"/>
      <c r="J12" s="17"/>
      <c r="K12" s="17"/>
      <c r="L12" s="17"/>
      <c r="M12" s="17"/>
      <c r="N12" s="17"/>
      <c r="O12" s="17"/>
      <c r="P12" s="17"/>
      <c r="Q12" s="17"/>
      <c r="R12" s="17"/>
      <c r="S12" s="17"/>
      <c r="T12" s="17"/>
      <c r="U12" s="17"/>
      <c r="X12" s="7" t="s">
        <v>119</v>
      </c>
      <c r="Y12" s="18" t="s">
        <v>98</v>
      </c>
    </row>
    <row r="13">
      <c r="A13" s="8" t="s">
        <v>123</v>
      </c>
      <c r="B13" s="19">
        <v>79.95</v>
      </c>
      <c r="C13" s="19">
        <v>79.95</v>
      </c>
      <c r="D13" s="19">
        <v>79.95</v>
      </c>
      <c r="E13" s="19">
        <v>79.95</v>
      </c>
      <c r="F13" s="19">
        <v>79.95</v>
      </c>
      <c r="G13" s="19">
        <v>79.95</v>
      </c>
      <c r="H13" s="19">
        <v>79.95</v>
      </c>
      <c r="I13" s="19">
        <v>79.95</v>
      </c>
      <c r="J13" s="19">
        <v>79.95</v>
      </c>
      <c r="K13" s="19">
        <v>79.95</v>
      </c>
      <c r="L13" s="19">
        <v>79.95</v>
      </c>
      <c r="M13" s="19">
        <v>79.95</v>
      </c>
      <c r="N13" s="19">
        <v>79.95</v>
      </c>
      <c r="O13" s="19">
        <v>79.95</v>
      </c>
      <c r="P13" s="19">
        <v>79.95</v>
      </c>
      <c r="Q13" s="19">
        <v>79.95</v>
      </c>
      <c r="R13" s="19">
        <v>79.95</v>
      </c>
      <c r="S13" s="19">
        <v>79.95</v>
      </c>
      <c r="T13" s="19"/>
      <c r="U13" s="19"/>
    </row>
    <row r="14">
      <c r="A14" s="8" t="s">
        <v>126</v>
      </c>
      <c r="B14" s="14">
        <f t="shared" ref="B14:U14" si="3">COUNT(B$18:B$45)</f>
        <v>7</v>
      </c>
      <c r="C14" s="14">
        <f t="shared" si="3"/>
        <v>0</v>
      </c>
      <c r="D14" s="14">
        <f t="shared" si="3"/>
        <v>0</v>
      </c>
      <c r="E14" s="14">
        <f t="shared" si="3"/>
        <v>0</v>
      </c>
      <c r="F14" s="14">
        <f t="shared" si="3"/>
        <v>0</v>
      </c>
      <c r="G14" s="14">
        <f t="shared" si="3"/>
        <v>0</v>
      </c>
      <c r="H14" s="14">
        <f t="shared" si="3"/>
        <v>0</v>
      </c>
      <c r="I14" s="14">
        <f t="shared" si="3"/>
        <v>0</v>
      </c>
      <c r="J14" s="14">
        <f t="shared" si="3"/>
        <v>0</v>
      </c>
      <c r="K14" s="14">
        <f t="shared" si="3"/>
        <v>0</v>
      </c>
      <c r="L14" s="14">
        <f t="shared" si="3"/>
        <v>0</v>
      </c>
      <c r="M14" s="14">
        <f t="shared" si="3"/>
        <v>0</v>
      </c>
      <c r="N14" s="14">
        <f t="shared" si="3"/>
        <v>0</v>
      </c>
      <c r="O14" s="14">
        <f t="shared" si="3"/>
        <v>0</v>
      </c>
      <c r="P14" s="14">
        <f t="shared" si="3"/>
        <v>0</v>
      </c>
      <c r="Q14" s="14">
        <f t="shared" si="3"/>
        <v>0</v>
      </c>
      <c r="R14" s="14">
        <f t="shared" si="3"/>
        <v>0</v>
      </c>
      <c r="S14" s="14">
        <f t="shared" si="3"/>
        <v>0</v>
      </c>
      <c r="T14" s="14">
        <f t="shared" si="3"/>
        <v>0</v>
      </c>
      <c r="U14" s="14">
        <f t="shared" si="3"/>
        <v>0</v>
      </c>
    </row>
    <row r="15">
      <c r="A15" s="8" t="s">
        <v>127</v>
      </c>
      <c r="B15" s="20">
        <f t="shared" ref="B15:U15" si="4">IF(B$14=0,0,N(B$13)/B$14)</f>
        <v>11.42142857</v>
      </c>
      <c r="C15" s="20">
        <f t="shared" si="4"/>
        <v>0</v>
      </c>
      <c r="D15" s="20">
        <f t="shared" si="4"/>
        <v>0</v>
      </c>
      <c r="E15" s="20">
        <f t="shared" si="4"/>
        <v>0</v>
      </c>
      <c r="F15" s="20">
        <f t="shared" si="4"/>
        <v>0</v>
      </c>
      <c r="G15" s="20">
        <f t="shared" si="4"/>
        <v>0</v>
      </c>
      <c r="H15" s="20">
        <f t="shared" si="4"/>
        <v>0</v>
      </c>
      <c r="I15" s="20">
        <f t="shared" si="4"/>
        <v>0</v>
      </c>
      <c r="J15" s="20">
        <f t="shared" si="4"/>
        <v>0</v>
      </c>
      <c r="K15" s="20">
        <f t="shared" si="4"/>
        <v>0</v>
      </c>
      <c r="L15" s="20">
        <f t="shared" si="4"/>
        <v>0</v>
      </c>
      <c r="M15" s="20">
        <f t="shared" si="4"/>
        <v>0</v>
      </c>
      <c r="N15" s="20">
        <f t="shared" si="4"/>
        <v>0</v>
      </c>
      <c r="O15" s="20">
        <f t="shared" si="4"/>
        <v>0</v>
      </c>
      <c r="P15" s="20">
        <f t="shared" si="4"/>
        <v>0</v>
      </c>
      <c r="Q15" s="20">
        <f t="shared" si="4"/>
        <v>0</v>
      </c>
      <c r="R15" s="20">
        <f t="shared" si="4"/>
        <v>0</v>
      </c>
      <c r="S15" s="20">
        <f t="shared" si="4"/>
        <v>0</v>
      </c>
      <c r="T15" s="20">
        <f t="shared" si="4"/>
        <v>0</v>
      </c>
      <c r="U15" s="20">
        <f t="shared" si="4"/>
        <v>0</v>
      </c>
    </row>
    <row r="16">
      <c r="A16" s="8" t="s">
        <v>128</v>
      </c>
      <c r="B16" s="13"/>
      <c r="C16" s="13"/>
      <c r="D16" s="13"/>
      <c r="E16" s="13"/>
      <c r="F16" s="13"/>
      <c r="G16" s="13"/>
      <c r="H16" s="13"/>
      <c r="I16" s="13"/>
      <c r="J16" s="13"/>
      <c r="K16" s="13"/>
      <c r="L16" s="13"/>
      <c r="M16" s="13"/>
      <c r="N16" s="13"/>
      <c r="O16" s="13"/>
      <c r="P16" s="13"/>
      <c r="Q16" s="13"/>
      <c r="R16" s="13"/>
      <c r="S16" s="13"/>
      <c r="T16" s="13"/>
      <c r="U16" s="13"/>
    </row>
    <row r="17">
      <c r="A17" s="21" t="s">
        <v>129</v>
      </c>
      <c r="B17" s="22" t="s">
        <v>41</v>
      </c>
      <c r="C17" s="22" t="s">
        <v>42</v>
      </c>
      <c r="D17" s="22" t="s">
        <v>43</v>
      </c>
      <c r="E17" s="22" t="s">
        <v>44</v>
      </c>
      <c r="F17" s="22" t="s">
        <v>45</v>
      </c>
      <c r="G17" s="22" t="s">
        <v>46</v>
      </c>
      <c r="H17" s="22" t="s">
        <v>47</v>
      </c>
      <c r="I17" s="22" t="s">
        <v>48</v>
      </c>
      <c r="J17" s="22" t="s">
        <v>49</v>
      </c>
      <c r="K17" s="22" t="s">
        <v>50</v>
      </c>
      <c r="L17" s="22" t="s">
        <v>51</v>
      </c>
      <c r="M17" s="22" t="s">
        <v>52</v>
      </c>
      <c r="N17" s="22" t="s">
        <v>53</v>
      </c>
      <c r="O17" s="22" t="s">
        <v>54</v>
      </c>
      <c r="P17" s="22" t="s">
        <v>55</v>
      </c>
      <c r="Q17" s="22" t="s">
        <v>56</v>
      </c>
      <c r="R17" s="22" t="s">
        <v>57</v>
      </c>
      <c r="S17" s="22" t="s">
        <v>58</v>
      </c>
      <c r="T17" s="22" t="s">
        <v>59</v>
      </c>
      <c r="U17" s="22" t="s">
        <v>60</v>
      </c>
      <c r="V17" s="22" t="s">
        <v>130</v>
      </c>
      <c r="W17" s="22" t="s">
        <v>131</v>
      </c>
    </row>
    <row r="18">
      <c r="A18" s="23" t="s">
        <v>132</v>
      </c>
      <c r="B18" s="15"/>
      <c r="C18" s="15"/>
      <c r="D18" s="15"/>
      <c r="E18" s="15"/>
      <c r="F18" s="15"/>
      <c r="G18" s="15"/>
      <c r="H18" s="15"/>
      <c r="I18" s="15"/>
      <c r="J18" s="15"/>
      <c r="K18" s="15"/>
      <c r="L18" s="15"/>
      <c r="M18" s="15"/>
      <c r="N18" s="15"/>
      <c r="O18" s="15"/>
      <c r="P18" s="15"/>
      <c r="Q18" s="15"/>
      <c r="R18" s="15"/>
      <c r="S18" s="15"/>
      <c r="T18" s="15"/>
      <c r="U18" s="15"/>
      <c r="V18" s="24">
        <f t="shared" ref="V18:V45" si="5">SUMPRODUCT(B18:U18*($B$16:$U$16=""))</f>
        <v>0</v>
      </c>
      <c r="W18" s="20">
        <f t="shared" ref="W18:W45" si="6">SUMPRODUCT($B18:$U18,$B$15:$U$15)</f>
        <v>0</v>
      </c>
    </row>
    <row r="19">
      <c r="A19" s="23" t="s">
        <v>133</v>
      </c>
      <c r="B19" s="15"/>
      <c r="C19" s="15"/>
      <c r="D19" s="15"/>
      <c r="E19" s="15"/>
      <c r="F19" s="15"/>
      <c r="G19" s="15"/>
      <c r="H19" s="15"/>
      <c r="I19" s="15"/>
      <c r="J19" s="15"/>
      <c r="K19" s="15"/>
      <c r="L19" s="15"/>
      <c r="M19" s="15"/>
      <c r="N19" s="15"/>
      <c r="O19" s="15"/>
      <c r="P19" s="15"/>
      <c r="Q19" s="15"/>
      <c r="R19" s="15"/>
      <c r="S19" s="15"/>
      <c r="T19" s="15"/>
      <c r="U19" s="15"/>
      <c r="V19" s="24">
        <f t="shared" si="5"/>
        <v>0</v>
      </c>
      <c r="W19" s="20">
        <f t="shared" si="6"/>
        <v>0</v>
      </c>
    </row>
    <row r="20">
      <c r="A20" s="23" t="s">
        <v>103</v>
      </c>
      <c r="B20" s="15"/>
      <c r="C20" s="15"/>
      <c r="D20" s="15"/>
      <c r="E20" s="15"/>
      <c r="F20" s="15"/>
      <c r="G20" s="15"/>
      <c r="H20" s="15"/>
      <c r="I20" s="15"/>
      <c r="J20" s="15"/>
      <c r="K20" s="15"/>
      <c r="L20" s="15"/>
      <c r="M20" s="15"/>
      <c r="N20" s="15"/>
      <c r="O20" s="15"/>
      <c r="P20" s="15"/>
      <c r="Q20" s="15"/>
      <c r="R20" s="15"/>
      <c r="S20" s="15"/>
      <c r="T20" s="15"/>
      <c r="U20" s="15"/>
      <c r="V20" s="24">
        <f t="shared" si="5"/>
        <v>0</v>
      </c>
      <c r="W20" s="20">
        <f t="shared" si="6"/>
        <v>0</v>
      </c>
    </row>
    <row r="21" ht="15.75" customHeight="1">
      <c r="A21" s="23" t="s">
        <v>110</v>
      </c>
      <c r="B21" s="27">
        <v>1.0</v>
      </c>
      <c r="C21" s="15"/>
      <c r="D21" s="15"/>
      <c r="E21" s="15"/>
      <c r="F21" s="15"/>
      <c r="G21" s="15"/>
      <c r="H21" s="15"/>
      <c r="I21" s="15"/>
      <c r="J21" s="15"/>
      <c r="K21" s="15"/>
      <c r="L21" s="15"/>
      <c r="M21" s="15"/>
      <c r="N21" s="15"/>
      <c r="O21" s="15"/>
      <c r="P21" s="15"/>
      <c r="Q21" s="15"/>
      <c r="R21" s="15"/>
      <c r="S21" s="15"/>
      <c r="T21" s="15"/>
      <c r="U21" s="15"/>
      <c r="V21" s="24">
        <f t="shared" si="5"/>
        <v>1</v>
      </c>
      <c r="W21" s="20">
        <f t="shared" si="6"/>
        <v>11.42142857</v>
      </c>
    </row>
    <row r="22" ht="15.75" customHeight="1">
      <c r="A22" s="23" t="s">
        <v>100</v>
      </c>
      <c r="B22" s="15"/>
      <c r="C22" s="15"/>
      <c r="D22" s="15"/>
      <c r="E22" s="15"/>
      <c r="F22" s="15"/>
      <c r="G22" s="15"/>
      <c r="H22" s="15"/>
      <c r="I22" s="15"/>
      <c r="J22" s="15"/>
      <c r="K22" s="15"/>
      <c r="L22" s="15"/>
      <c r="M22" s="15"/>
      <c r="N22" s="15"/>
      <c r="O22" s="15"/>
      <c r="P22" s="15"/>
      <c r="Q22" s="15"/>
      <c r="R22" s="15"/>
      <c r="S22" s="15"/>
      <c r="T22" s="15"/>
      <c r="U22" s="15"/>
      <c r="V22" s="24">
        <f t="shared" si="5"/>
        <v>0</v>
      </c>
      <c r="W22" s="20">
        <f t="shared" si="6"/>
        <v>0</v>
      </c>
    </row>
    <row r="23" ht="15.75" customHeight="1">
      <c r="A23" s="23" t="s">
        <v>134</v>
      </c>
      <c r="B23" s="15"/>
      <c r="C23" s="15"/>
      <c r="D23" s="15"/>
      <c r="E23" s="15"/>
      <c r="F23" s="15"/>
      <c r="G23" s="15"/>
      <c r="H23" s="15"/>
      <c r="I23" s="15"/>
      <c r="J23" s="15"/>
      <c r="K23" s="15"/>
      <c r="L23" s="15"/>
      <c r="M23" s="15"/>
      <c r="N23" s="15"/>
      <c r="O23" s="15"/>
      <c r="P23" s="15"/>
      <c r="Q23" s="15"/>
      <c r="R23" s="15"/>
      <c r="S23" s="15"/>
      <c r="T23" s="15"/>
      <c r="U23" s="15"/>
      <c r="V23" s="24">
        <f t="shared" si="5"/>
        <v>0</v>
      </c>
      <c r="W23" s="20">
        <f t="shared" si="6"/>
        <v>0</v>
      </c>
    </row>
    <row r="24" ht="15.75" customHeight="1">
      <c r="A24" s="23" t="s">
        <v>135</v>
      </c>
      <c r="B24" s="15"/>
      <c r="C24" s="15"/>
      <c r="D24" s="15"/>
      <c r="E24" s="15"/>
      <c r="F24" s="15"/>
      <c r="G24" s="15"/>
      <c r="H24" s="15"/>
      <c r="I24" s="15"/>
      <c r="J24" s="15"/>
      <c r="K24" s="15"/>
      <c r="L24" s="15"/>
      <c r="M24" s="15"/>
      <c r="N24" s="15"/>
      <c r="O24" s="15"/>
      <c r="P24" s="15"/>
      <c r="Q24" s="15"/>
      <c r="R24" s="15"/>
      <c r="S24" s="15"/>
      <c r="T24" s="15"/>
      <c r="U24" s="15"/>
      <c r="V24" s="24">
        <f t="shared" si="5"/>
        <v>0</v>
      </c>
      <c r="W24" s="20">
        <f t="shared" si="6"/>
        <v>0</v>
      </c>
    </row>
    <row r="25" ht="15.75" customHeight="1">
      <c r="A25" s="23" t="s">
        <v>136</v>
      </c>
      <c r="B25" s="15"/>
      <c r="C25" s="15"/>
      <c r="D25" s="15"/>
      <c r="E25" s="15"/>
      <c r="F25" s="15"/>
      <c r="G25" s="15"/>
      <c r="H25" s="15"/>
      <c r="I25" s="15"/>
      <c r="J25" s="15"/>
      <c r="K25" s="15"/>
      <c r="L25" s="15"/>
      <c r="M25" s="15"/>
      <c r="N25" s="15"/>
      <c r="O25" s="15"/>
      <c r="P25" s="15"/>
      <c r="Q25" s="15"/>
      <c r="R25" s="15"/>
      <c r="S25" s="15"/>
      <c r="T25" s="15"/>
      <c r="U25" s="15"/>
      <c r="V25" s="24">
        <f t="shared" si="5"/>
        <v>0</v>
      </c>
      <c r="W25" s="20">
        <f t="shared" si="6"/>
        <v>0</v>
      </c>
    </row>
    <row r="26" ht="15.75" customHeight="1">
      <c r="A26" s="23" t="s">
        <v>104</v>
      </c>
      <c r="B26" s="27">
        <v>1.0</v>
      </c>
      <c r="C26" s="15"/>
      <c r="D26" s="15"/>
      <c r="E26" s="15"/>
      <c r="F26" s="15"/>
      <c r="G26" s="15"/>
      <c r="H26" s="15"/>
      <c r="I26" s="15"/>
      <c r="J26" s="15"/>
      <c r="K26" s="15"/>
      <c r="L26" s="15"/>
      <c r="M26" s="15"/>
      <c r="N26" s="15"/>
      <c r="O26" s="15"/>
      <c r="P26" s="15"/>
      <c r="Q26" s="15"/>
      <c r="R26" s="15"/>
      <c r="S26" s="15"/>
      <c r="T26" s="15"/>
      <c r="U26" s="15"/>
      <c r="V26" s="24">
        <f t="shared" si="5"/>
        <v>1</v>
      </c>
      <c r="W26" s="20">
        <f t="shared" si="6"/>
        <v>11.42142857</v>
      </c>
    </row>
    <row r="27" ht="15.75" customHeight="1">
      <c r="A27" s="23" t="s">
        <v>137</v>
      </c>
      <c r="B27" s="15"/>
      <c r="C27" s="15"/>
      <c r="D27" s="15"/>
      <c r="E27" s="15"/>
      <c r="F27" s="15"/>
      <c r="G27" s="15"/>
      <c r="H27" s="15"/>
      <c r="I27" s="15"/>
      <c r="J27" s="15"/>
      <c r="K27" s="15"/>
      <c r="L27" s="15"/>
      <c r="M27" s="15"/>
      <c r="N27" s="15"/>
      <c r="O27" s="15"/>
      <c r="P27" s="15"/>
      <c r="Q27" s="15"/>
      <c r="R27" s="15"/>
      <c r="S27" s="15"/>
      <c r="T27" s="15"/>
      <c r="U27" s="15"/>
      <c r="V27" s="24">
        <f t="shared" si="5"/>
        <v>0</v>
      </c>
      <c r="W27" s="20">
        <f t="shared" si="6"/>
        <v>0</v>
      </c>
    </row>
    <row r="28" ht="15.75" customHeight="1">
      <c r="A28" s="23" t="s">
        <v>101</v>
      </c>
      <c r="B28" s="15"/>
      <c r="C28" s="15"/>
      <c r="D28" s="15"/>
      <c r="E28" s="15"/>
      <c r="F28" s="15"/>
      <c r="G28" s="15"/>
      <c r="H28" s="15"/>
      <c r="I28" s="15"/>
      <c r="J28" s="15"/>
      <c r="K28" s="15"/>
      <c r="L28" s="15"/>
      <c r="M28" s="15"/>
      <c r="N28" s="15"/>
      <c r="O28" s="15"/>
      <c r="P28" s="15"/>
      <c r="Q28" s="15"/>
      <c r="R28" s="15"/>
      <c r="S28" s="15"/>
      <c r="T28" s="15"/>
      <c r="U28" s="15"/>
      <c r="V28" s="24">
        <f t="shared" si="5"/>
        <v>0</v>
      </c>
      <c r="W28" s="20">
        <f t="shared" si="6"/>
        <v>0</v>
      </c>
    </row>
    <row r="29" ht="15.75" customHeight="1">
      <c r="A29" s="23" t="s">
        <v>98</v>
      </c>
      <c r="B29" s="27">
        <v>1.0</v>
      </c>
      <c r="C29" s="15"/>
      <c r="D29" s="15"/>
      <c r="E29" s="15"/>
      <c r="F29" s="15"/>
      <c r="G29" s="15"/>
      <c r="H29" s="15"/>
      <c r="I29" s="15"/>
      <c r="J29" s="15"/>
      <c r="K29" s="15"/>
      <c r="L29" s="15"/>
      <c r="M29" s="15"/>
      <c r="N29" s="15"/>
      <c r="O29" s="15"/>
      <c r="P29" s="15"/>
      <c r="Q29" s="15"/>
      <c r="R29" s="15"/>
      <c r="S29" s="15"/>
      <c r="T29" s="15"/>
      <c r="U29" s="15"/>
      <c r="V29" s="24">
        <f t="shared" si="5"/>
        <v>1</v>
      </c>
      <c r="W29" s="20">
        <f t="shared" si="6"/>
        <v>11.42142857</v>
      </c>
    </row>
    <row r="30" ht="15.75" customHeight="1">
      <c r="A30" s="23" t="s">
        <v>138</v>
      </c>
      <c r="B30" s="15"/>
      <c r="C30" s="15"/>
      <c r="D30" s="15"/>
      <c r="E30" s="15"/>
      <c r="F30" s="15"/>
      <c r="G30" s="15"/>
      <c r="H30" s="15"/>
      <c r="I30" s="15"/>
      <c r="J30" s="15"/>
      <c r="K30" s="15"/>
      <c r="L30" s="15"/>
      <c r="M30" s="15"/>
      <c r="N30" s="15"/>
      <c r="O30" s="15"/>
      <c r="P30" s="15"/>
      <c r="Q30" s="15"/>
      <c r="R30" s="15"/>
      <c r="S30" s="15"/>
      <c r="T30" s="15"/>
      <c r="U30" s="15"/>
      <c r="V30" s="24">
        <f t="shared" si="5"/>
        <v>0</v>
      </c>
      <c r="W30" s="20">
        <f t="shared" si="6"/>
        <v>0</v>
      </c>
    </row>
    <row r="31" ht="15.75" customHeight="1">
      <c r="A31" s="23" t="s">
        <v>139</v>
      </c>
      <c r="B31" s="15"/>
      <c r="C31" s="15"/>
      <c r="D31" s="15"/>
      <c r="E31" s="15"/>
      <c r="F31" s="15"/>
      <c r="G31" s="15"/>
      <c r="H31" s="15"/>
      <c r="I31" s="15"/>
      <c r="J31" s="15"/>
      <c r="K31" s="15"/>
      <c r="L31" s="15"/>
      <c r="M31" s="15"/>
      <c r="N31" s="15"/>
      <c r="O31" s="15"/>
      <c r="P31" s="15"/>
      <c r="Q31" s="15"/>
      <c r="R31" s="15"/>
      <c r="S31" s="15"/>
      <c r="T31" s="15"/>
      <c r="U31" s="15"/>
      <c r="V31" s="24">
        <f t="shared" si="5"/>
        <v>0</v>
      </c>
      <c r="W31" s="20">
        <f t="shared" si="6"/>
        <v>0</v>
      </c>
    </row>
    <row r="32" ht="15.75" customHeight="1">
      <c r="A32" s="23" t="s">
        <v>140</v>
      </c>
      <c r="B32" s="27">
        <v>1.0</v>
      </c>
      <c r="C32" s="15"/>
      <c r="D32" s="15"/>
      <c r="E32" s="15"/>
      <c r="F32" s="15"/>
      <c r="G32" s="15"/>
      <c r="H32" s="15"/>
      <c r="I32" s="15"/>
      <c r="J32" s="15"/>
      <c r="K32" s="15"/>
      <c r="L32" s="15"/>
      <c r="M32" s="15"/>
      <c r="N32" s="15"/>
      <c r="O32" s="15"/>
      <c r="P32" s="15"/>
      <c r="Q32" s="15"/>
      <c r="R32" s="15"/>
      <c r="S32" s="15"/>
      <c r="T32" s="15"/>
      <c r="U32" s="15"/>
      <c r="V32" s="24">
        <f t="shared" si="5"/>
        <v>1</v>
      </c>
      <c r="W32" s="20">
        <f t="shared" si="6"/>
        <v>11.42142857</v>
      </c>
    </row>
    <row r="33" ht="15.75" customHeight="1">
      <c r="A33" s="23" t="s">
        <v>141</v>
      </c>
      <c r="B33" s="15"/>
      <c r="C33" s="15"/>
      <c r="D33" s="15"/>
      <c r="E33" s="15"/>
      <c r="F33" s="15"/>
      <c r="G33" s="15"/>
      <c r="H33" s="15"/>
      <c r="I33" s="15"/>
      <c r="J33" s="15"/>
      <c r="K33" s="15"/>
      <c r="L33" s="15"/>
      <c r="M33" s="15"/>
      <c r="N33" s="15"/>
      <c r="O33" s="15"/>
      <c r="P33" s="15"/>
      <c r="Q33" s="15"/>
      <c r="R33" s="15"/>
      <c r="S33" s="15"/>
      <c r="T33" s="15"/>
      <c r="U33" s="15"/>
      <c r="V33" s="24">
        <f t="shared" si="5"/>
        <v>0</v>
      </c>
      <c r="W33" s="20">
        <f t="shared" si="6"/>
        <v>0</v>
      </c>
    </row>
    <row r="34" ht="15.75" customHeight="1">
      <c r="A34" s="23" t="s">
        <v>105</v>
      </c>
      <c r="B34" s="27">
        <v>1.0</v>
      </c>
      <c r="C34" s="15"/>
      <c r="D34" s="15"/>
      <c r="E34" s="15"/>
      <c r="F34" s="15"/>
      <c r="G34" s="15"/>
      <c r="H34" s="15"/>
      <c r="I34" s="15"/>
      <c r="J34" s="15"/>
      <c r="K34" s="15"/>
      <c r="L34" s="15"/>
      <c r="M34" s="15"/>
      <c r="N34" s="15"/>
      <c r="O34" s="15"/>
      <c r="P34" s="15"/>
      <c r="Q34" s="15"/>
      <c r="R34" s="15"/>
      <c r="S34" s="15"/>
      <c r="T34" s="15"/>
      <c r="U34" s="15"/>
      <c r="V34" s="24">
        <f t="shared" si="5"/>
        <v>1</v>
      </c>
      <c r="W34" s="20">
        <f t="shared" si="6"/>
        <v>11.42142857</v>
      </c>
    </row>
    <row r="35" ht="15.75" customHeight="1">
      <c r="A35" s="23" t="s">
        <v>111</v>
      </c>
      <c r="B35" s="15"/>
      <c r="C35" s="15"/>
      <c r="D35" s="15"/>
      <c r="E35" s="15"/>
      <c r="F35" s="15"/>
      <c r="G35" s="15"/>
      <c r="H35" s="15"/>
      <c r="I35" s="15"/>
      <c r="J35" s="15"/>
      <c r="K35" s="15"/>
      <c r="L35" s="15"/>
      <c r="M35" s="15"/>
      <c r="N35" s="15"/>
      <c r="O35" s="15"/>
      <c r="P35" s="15"/>
      <c r="Q35" s="15"/>
      <c r="R35" s="15"/>
      <c r="S35" s="15"/>
      <c r="T35" s="15"/>
      <c r="U35" s="15"/>
      <c r="V35" s="24">
        <f t="shared" si="5"/>
        <v>0</v>
      </c>
      <c r="W35" s="20">
        <f t="shared" si="6"/>
        <v>0</v>
      </c>
    </row>
    <row r="36" ht="15.75" customHeight="1">
      <c r="A36" s="23" t="s">
        <v>102</v>
      </c>
      <c r="B36" s="27">
        <v>1.0</v>
      </c>
      <c r="C36" s="15"/>
      <c r="D36" s="15"/>
      <c r="E36" s="15"/>
      <c r="F36" s="15"/>
      <c r="G36" s="15"/>
      <c r="H36" s="15"/>
      <c r="I36" s="15"/>
      <c r="J36" s="15"/>
      <c r="K36" s="15"/>
      <c r="L36" s="15"/>
      <c r="M36" s="15"/>
      <c r="N36" s="15"/>
      <c r="O36" s="15"/>
      <c r="P36" s="15"/>
      <c r="Q36" s="15"/>
      <c r="R36" s="15"/>
      <c r="S36" s="15"/>
      <c r="T36" s="15"/>
      <c r="U36" s="15"/>
      <c r="V36" s="24">
        <f t="shared" si="5"/>
        <v>1</v>
      </c>
      <c r="W36" s="20">
        <f t="shared" si="6"/>
        <v>11.42142857</v>
      </c>
    </row>
    <row r="37" ht="15.75" customHeight="1">
      <c r="A37" s="23" t="s">
        <v>142</v>
      </c>
      <c r="B37" s="15"/>
      <c r="C37" s="15"/>
      <c r="D37" s="15"/>
      <c r="E37" s="15"/>
      <c r="F37" s="15"/>
      <c r="G37" s="15"/>
      <c r="H37" s="15"/>
      <c r="I37" s="15"/>
      <c r="J37" s="15"/>
      <c r="K37" s="15"/>
      <c r="L37" s="15"/>
      <c r="M37" s="15"/>
      <c r="N37" s="15"/>
      <c r="O37" s="15"/>
      <c r="P37" s="15"/>
      <c r="Q37" s="15"/>
      <c r="R37" s="15"/>
      <c r="S37" s="15"/>
      <c r="T37" s="15"/>
      <c r="U37" s="15"/>
      <c r="V37" s="24">
        <f t="shared" si="5"/>
        <v>0</v>
      </c>
      <c r="W37" s="20">
        <f t="shared" si="6"/>
        <v>0</v>
      </c>
    </row>
    <row r="38" ht="15.75" customHeight="1">
      <c r="A38" s="23" t="s">
        <v>99</v>
      </c>
      <c r="B38" s="15"/>
      <c r="C38" s="15"/>
      <c r="D38" s="15"/>
      <c r="E38" s="15"/>
      <c r="F38" s="15"/>
      <c r="G38" s="15"/>
      <c r="H38" s="15"/>
      <c r="I38" s="15"/>
      <c r="J38" s="15"/>
      <c r="K38" s="15"/>
      <c r="L38" s="15"/>
      <c r="M38" s="15"/>
      <c r="N38" s="15"/>
      <c r="O38" s="15"/>
      <c r="P38" s="15"/>
      <c r="Q38" s="15"/>
      <c r="R38" s="15"/>
      <c r="S38" s="15"/>
      <c r="T38" s="15"/>
      <c r="U38" s="15"/>
      <c r="V38" s="24">
        <f t="shared" si="5"/>
        <v>0</v>
      </c>
      <c r="W38" s="20">
        <f t="shared" si="6"/>
        <v>0</v>
      </c>
    </row>
    <row r="39" ht="15.75" customHeight="1">
      <c r="A39" s="23" t="s">
        <v>143</v>
      </c>
      <c r="B39" s="27">
        <v>1.0</v>
      </c>
      <c r="C39" s="15"/>
      <c r="D39" s="15"/>
      <c r="E39" s="15"/>
      <c r="F39" s="15"/>
      <c r="G39" s="15"/>
      <c r="H39" s="15"/>
      <c r="I39" s="15"/>
      <c r="J39" s="15"/>
      <c r="K39" s="15"/>
      <c r="L39" s="15"/>
      <c r="M39" s="15"/>
      <c r="N39" s="15"/>
      <c r="O39" s="15"/>
      <c r="P39" s="15"/>
      <c r="Q39" s="15"/>
      <c r="R39" s="15"/>
      <c r="S39" s="15"/>
      <c r="T39" s="15"/>
      <c r="U39" s="15"/>
      <c r="V39" s="24">
        <f t="shared" si="5"/>
        <v>1</v>
      </c>
      <c r="W39" s="20">
        <f t="shared" si="6"/>
        <v>11.42142857</v>
      </c>
    </row>
    <row r="40" ht="15.75" customHeight="1">
      <c r="A40" s="23"/>
      <c r="B40" s="15"/>
      <c r="C40" s="15"/>
      <c r="D40" s="15"/>
      <c r="E40" s="15"/>
      <c r="F40" s="15"/>
      <c r="G40" s="15"/>
      <c r="H40" s="15"/>
      <c r="I40" s="15"/>
      <c r="J40" s="15"/>
      <c r="K40" s="15"/>
      <c r="L40" s="15"/>
      <c r="M40" s="15"/>
      <c r="N40" s="15"/>
      <c r="O40" s="15"/>
      <c r="P40" s="15"/>
      <c r="Q40" s="15"/>
      <c r="R40" s="15"/>
      <c r="S40" s="15"/>
      <c r="T40" s="15"/>
      <c r="U40" s="15"/>
      <c r="V40" s="24">
        <f t="shared" si="5"/>
        <v>0</v>
      </c>
      <c r="W40" s="20">
        <f t="shared" si="6"/>
        <v>0</v>
      </c>
    </row>
    <row r="41" ht="15.75" customHeight="1">
      <c r="A41" s="23"/>
      <c r="B41" s="15"/>
      <c r="C41" s="15"/>
      <c r="D41" s="15"/>
      <c r="E41" s="15"/>
      <c r="F41" s="15"/>
      <c r="G41" s="15"/>
      <c r="H41" s="15"/>
      <c r="I41" s="15"/>
      <c r="J41" s="15"/>
      <c r="K41" s="15"/>
      <c r="L41" s="15"/>
      <c r="M41" s="15"/>
      <c r="N41" s="15"/>
      <c r="O41" s="15"/>
      <c r="P41" s="15"/>
      <c r="Q41" s="15"/>
      <c r="R41" s="15"/>
      <c r="S41" s="15"/>
      <c r="T41" s="15"/>
      <c r="U41" s="15"/>
      <c r="V41" s="24">
        <f t="shared" si="5"/>
        <v>0</v>
      </c>
      <c r="W41" s="20">
        <f t="shared" si="6"/>
        <v>0</v>
      </c>
    </row>
    <row r="42" ht="15.75" customHeight="1">
      <c r="A42" s="23"/>
      <c r="B42" s="15"/>
      <c r="C42" s="15"/>
      <c r="D42" s="15"/>
      <c r="E42" s="15"/>
      <c r="F42" s="15"/>
      <c r="G42" s="15"/>
      <c r="H42" s="15"/>
      <c r="I42" s="15"/>
      <c r="J42" s="15"/>
      <c r="K42" s="15"/>
      <c r="L42" s="15"/>
      <c r="M42" s="15"/>
      <c r="N42" s="15"/>
      <c r="O42" s="15"/>
      <c r="P42" s="15"/>
      <c r="Q42" s="15"/>
      <c r="R42" s="15"/>
      <c r="S42" s="15"/>
      <c r="T42" s="15"/>
      <c r="U42" s="15"/>
      <c r="V42" s="24">
        <f t="shared" si="5"/>
        <v>0</v>
      </c>
      <c r="W42" s="20">
        <f t="shared" si="6"/>
        <v>0</v>
      </c>
    </row>
    <row r="43" ht="15.75" customHeight="1">
      <c r="A43" s="23"/>
      <c r="B43" s="15"/>
      <c r="C43" s="15"/>
      <c r="D43" s="15"/>
      <c r="E43" s="15"/>
      <c r="F43" s="15"/>
      <c r="G43" s="15"/>
      <c r="H43" s="15"/>
      <c r="I43" s="15"/>
      <c r="J43" s="15"/>
      <c r="K43" s="15"/>
      <c r="L43" s="15"/>
      <c r="M43" s="15"/>
      <c r="N43" s="15"/>
      <c r="O43" s="15"/>
      <c r="P43" s="15"/>
      <c r="Q43" s="15"/>
      <c r="R43" s="15"/>
      <c r="S43" s="15"/>
      <c r="T43" s="15"/>
      <c r="U43" s="15"/>
      <c r="V43" s="24">
        <f t="shared" si="5"/>
        <v>0</v>
      </c>
      <c r="W43" s="20">
        <f t="shared" si="6"/>
        <v>0</v>
      </c>
    </row>
    <row r="44" ht="15.75" customHeight="1">
      <c r="A44" s="23"/>
      <c r="B44" s="15"/>
      <c r="C44" s="15"/>
      <c r="D44" s="15"/>
      <c r="E44" s="15"/>
      <c r="F44" s="15"/>
      <c r="G44" s="15"/>
      <c r="H44" s="15"/>
      <c r="I44" s="15"/>
      <c r="J44" s="15"/>
      <c r="K44" s="15"/>
      <c r="L44" s="15"/>
      <c r="M44" s="15"/>
      <c r="N44" s="15"/>
      <c r="O44" s="15"/>
      <c r="P44" s="15"/>
      <c r="Q44" s="15"/>
      <c r="R44" s="15"/>
      <c r="S44" s="15"/>
      <c r="T44" s="15"/>
      <c r="U44" s="15"/>
      <c r="V44" s="24">
        <f t="shared" si="5"/>
        <v>0</v>
      </c>
      <c r="W44" s="20">
        <f t="shared" si="6"/>
        <v>0</v>
      </c>
    </row>
    <row r="45" ht="15.75" customHeight="1">
      <c r="A45" s="23"/>
      <c r="B45" s="15"/>
      <c r="C45" s="15"/>
      <c r="D45" s="15"/>
      <c r="E45" s="15"/>
      <c r="F45" s="15"/>
      <c r="G45" s="15"/>
      <c r="H45" s="15"/>
      <c r="I45" s="15"/>
      <c r="J45" s="15"/>
      <c r="K45" s="15"/>
      <c r="L45" s="15"/>
      <c r="M45" s="15"/>
      <c r="N45" s="15"/>
      <c r="O45" s="15"/>
      <c r="P45" s="15"/>
      <c r="Q45" s="15"/>
      <c r="R45" s="15"/>
      <c r="S45" s="15"/>
      <c r="T45" s="15"/>
      <c r="U45" s="15"/>
      <c r="V45" s="24">
        <f t="shared" si="5"/>
        <v>0</v>
      </c>
      <c r="W45" s="20">
        <f t="shared" si="6"/>
        <v>0</v>
      </c>
    </row>
    <row r="46" ht="15.75" customHeight="1">
      <c r="A46" s="7" t="s">
        <v>144</v>
      </c>
      <c r="V46" s="24">
        <f t="shared" ref="V46:W46" si="7">SUM(V18:V45)</f>
        <v>7</v>
      </c>
      <c r="W46" s="25">
        <f t="shared" si="7"/>
        <v>79.95</v>
      </c>
    </row>
    <row r="47" ht="15.75" customHeight="1"/>
    <row r="48" ht="15.75" customHeight="1">
      <c r="A48" s="21" t="s">
        <v>146</v>
      </c>
      <c r="B48" s="22" t="s">
        <v>41</v>
      </c>
      <c r="C48" s="22" t="s">
        <v>42</v>
      </c>
      <c r="D48" s="22" t="s">
        <v>43</v>
      </c>
      <c r="E48" s="22" t="s">
        <v>44</v>
      </c>
      <c r="F48" s="22" t="s">
        <v>45</v>
      </c>
      <c r="G48" s="22" t="s">
        <v>46</v>
      </c>
      <c r="H48" s="22" t="s">
        <v>47</v>
      </c>
      <c r="I48" s="22" t="s">
        <v>48</v>
      </c>
      <c r="J48" s="22" t="s">
        <v>49</v>
      </c>
      <c r="K48" s="22" t="s">
        <v>50</v>
      </c>
      <c r="L48" s="22" t="s">
        <v>51</v>
      </c>
      <c r="M48" s="22" t="s">
        <v>52</v>
      </c>
      <c r="N48" s="22" t="s">
        <v>53</v>
      </c>
      <c r="O48" s="22" t="s">
        <v>54</v>
      </c>
      <c r="P48" s="22" t="s">
        <v>55</v>
      </c>
      <c r="Q48" s="22" t="s">
        <v>56</v>
      </c>
      <c r="R48" s="22" t="s">
        <v>57</v>
      </c>
      <c r="S48" s="22" t="s">
        <v>58</v>
      </c>
      <c r="T48" s="22" t="s">
        <v>59</v>
      </c>
      <c r="U48" s="22" t="s">
        <v>60</v>
      </c>
      <c r="V48" s="22" t="s">
        <v>147</v>
      </c>
    </row>
    <row r="49" ht="15.75" customHeight="1">
      <c r="A49" s="23" t="str">
        <f t="shared" ref="A49:A76" si="8">IF($A18="","",$A18)</f>
        <v>Ahmed</v>
      </c>
      <c r="B49" s="15"/>
      <c r="C49" s="15"/>
      <c r="D49" s="15"/>
      <c r="E49" s="15"/>
      <c r="F49" s="15"/>
      <c r="G49" s="15"/>
      <c r="H49" s="15"/>
      <c r="I49" s="15"/>
      <c r="J49" s="15"/>
      <c r="K49" s="15"/>
      <c r="L49" s="15"/>
      <c r="M49" s="15"/>
      <c r="N49" s="15"/>
      <c r="O49" s="15"/>
      <c r="P49" s="15"/>
      <c r="Q49" s="15"/>
      <c r="R49" s="15"/>
      <c r="S49" s="15"/>
      <c r="T49" s="15"/>
      <c r="U49" s="15"/>
      <c r="V49" s="24">
        <f t="shared" ref="V49:V76" si="9">SUMPRODUCT(B49:U49*($B$16:$U$16=""))</f>
        <v>0</v>
      </c>
    </row>
    <row r="50" ht="15.75" customHeight="1">
      <c r="A50" s="23" t="str">
        <f t="shared" si="8"/>
        <v>Alex Ruben</v>
      </c>
      <c r="B50" s="15"/>
      <c r="C50" s="15"/>
      <c r="D50" s="15"/>
      <c r="E50" s="15"/>
      <c r="F50" s="15"/>
      <c r="G50" s="15"/>
      <c r="H50" s="15"/>
      <c r="I50" s="15"/>
      <c r="J50" s="15"/>
      <c r="K50" s="15"/>
      <c r="L50" s="15"/>
      <c r="M50" s="15"/>
      <c r="N50" s="15"/>
      <c r="O50" s="15"/>
      <c r="P50" s="15"/>
      <c r="Q50" s="15"/>
      <c r="R50" s="15"/>
      <c r="S50" s="15"/>
      <c r="T50" s="15"/>
      <c r="U50" s="15"/>
      <c r="V50" s="24">
        <f t="shared" si="9"/>
        <v>0</v>
      </c>
    </row>
    <row r="51" ht="15.75" customHeight="1">
      <c r="A51" s="23" t="str">
        <f t="shared" si="8"/>
        <v>Andy Cowan</v>
      </c>
      <c r="B51" s="15"/>
      <c r="C51" s="15"/>
      <c r="D51" s="15"/>
      <c r="E51" s="15"/>
      <c r="F51" s="15"/>
      <c r="G51" s="15"/>
      <c r="H51" s="15"/>
      <c r="I51" s="15"/>
      <c r="J51" s="15"/>
      <c r="K51" s="15"/>
      <c r="L51" s="15"/>
      <c r="M51" s="15"/>
      <c r="N51" s="15"/>
      <c r="O51" s="15"/>
      <c r="P51" s="15"/>
      <c r="Q51" s="15"/>
      <c r="R51" s="15"/>
      <c r="S51" s="15"/>
      <c r="T51" s="15"/>
      <c r="U51" s="15"/>
      <c r="V51" s="24">
        <f t="shared" si="9"/>
        <v>0</v>
      </c>
    </row>
    <row r="52" ht="15.75" customHeight="1">
      <c r="A52" s="23" t="str">
        <f t="shared" si="8"/>
        <v>Ben Merrett</v>
      </c>
      <c r="B52" s="15"/>
      <c r="C52" s="15"/>
      <c r="D52" s="15"/>
      <c r="E52" s="15"/>
      <c r="F52" s="15"/>
      <c r="G52" s="15"/>
      <c r="H52" s="15"/>
      <c r="I52" s="15"/>
      <c r="J52" s="15"/>
      <c r="K52" s="15"/>
      <c r="L52" s="15"/>
      <c r="M52" s="15"/>
      <c r="N52" s="15"/>
      <c r="O52" s="15"/>
      <c r="P52" s="15"/>
      <c r="Q52" s="15"/>
      <c r="R52" s="15"/>
      <c r="S52" s="15"/>
      <c r="T52" s="15"/>
      <c r="U52" s="15"/>
      <c r="V52" s="24">
        <f t="shared" si="9"/>
        <v>0</v>
      </c>
    </row>
    <row r="53" ht="15.75" customHeight="1">
      <c r="A53" s="23" t="str">
        <f t="shared" si="8"/>
        <v>Callum McCarthy</v>
      </c>
      <c r="B53" s="15"/>
      <c r="C53" s="15"/>
      <c r="D53" s="15"/>
      <c r="E53" s="15"/>
      <c r="F53" s="15"/>
      <c r="G53" s="15"/>
      <c r="H53" s="15"/>
      <c r="I53" s="15"/>
      <c r="J53" s="15"/>
      <c r="K53" s="15"/>
      <c r="L53" s="15"/>
      <c r="M53" s="15"/>
      <c r="N53" s="15"/>
      <c r="O53" s="15"/>
      <c r="P53" s="15"/>
      <c r="Q53" s="15"/>
      <c r="R53" s="15"/>
      <c r="S53" s="15"/>
      <c r="T53" s="15"/>
      <c r="U53" s="15"/>
      <c r="V53" s="24">
        <f t="shared" si="9"/>
        <v>0</v>
      </c>
    </row>
    <row r="54" ht="15.75" customHeight="1">
      <c r="A54" s="23" t="str">
        <f t="shared" si="8"/>
        <v>Cecil Watson</v>
      </c>
      <c r="B54" s="15"/>
      <c r="C54" s="15"/>
      <c r="D54" s="15"/>
      <c r="E54" s="15"/>
      <c r="F54" s="15"/>
      <c r="G54" s="15"/>
      <c r="H54" s="15"/>
      <c r="I54" s="15"/>
      <c r="J54" s="15"/>
      <c r="K54" s="15"/>
      <c r="L54" s="15"/>
      <c r="M54" s="15"/>
      <c r="N54" s="15"/>
      <c r="O54" s="15"/>
      <c r="P54" s="15"/>
      <c r="Q54" s="15"/>
      <c r="R54" s="15"/>
      <c r="S54" s="15"/>
      <c r="T54" s="15"/>
      <c r="U54" s="15"/>
      <c r="V54" s="24">
        <f t="shared" si="9"/>
        <v>0</v>
      </c>
    </row>
    <row r="55" ht="15.75" customHeight="1">
      <c r="A55" s="23" t="str">
        <f t="shared" si="8"/>
        <v>Conall Templeman</v>
      </c>
      <c r="B55" s="15"/>
      <c r="C55" s="15"/>
      <c r="D55" s="15"/>
      <c r="E55" s="15"/>
      <c r="F55" s="15"/>
      <c r="G55" s="15"/>
      <c r="H55" s="15"/>
      <c r="I55" s="15"/>
      <c r="J55" s="15"/>
      <c r="K55" s="15"/>
      <c r="L55" s="15"/>
      <c r="M55" s="15"/>
      <c r="N55" s="15"/>
      <c r="O55" s="15"/>
      <c r="P55" s="15"/>
      <c r="Q55" s="15"/>
      <c r="R55" s="15"/>
      <c r="S55" s="15"/>
      <c r="T55" s="15"/>
      <c r="U55" s="15"/>
      <c r="V55" s="24">
        <f t="shared" si="9"/>
        <v>0</v>
      </c>
    </row>
    <row r="56" ht="15.75" customHeight="1">
      <c r="A56" s="23" t="str">
        <f t="shared" si="8"/>
        <v>Eddie Ringer</v>
      </c>
      <c r="B56" s="15"/>
      <c r="C56" s="15"/>
      <c r="D56" s="15"/>
      <c r="E56" s="15"/>
      <c r="F56" s="15"/>
      <c r="G56" s="15"/>
      <c r="H56" s="15"/>
      <c r="I56" s="15"/>
      <c r="J56" s="15"/>
      <c r="K56" s="15"/>
      <c r="L56" s="15"/>
      <c r="M56" s="15"/>
      <c r="N56" s="15"/>
      <c r="O56" s="15"/>
      <c r="P56" s="15"/>
      <c r="Q56" s="15"/>
      <c r="R56" s="15"/>
      <c r="S56" s="15"/>
      <c r="T56" s="15"/>
      <c r="U56" s="15"/>
      <c r="V56" s="24">
        <f t="shared" si="9"/>
        <v>0</v>
      </c>
    </row>
    <row r="57" ht="15.75" customHeight="1">
      <c r="A57" s="23" t="str">
        <f t="shared" si="8"/>
        <v>Finn Cawley</v>
      </c>
      <c r="B57" s="27">
        <v>2.0</v>
      </c>
      <c r="C57" s="15"/>
      <c r="D57" s="15"/>
      <c r="E57" s="15"/>
      <c r="F57" s="15"/>
      <c r="G57" s="15"/>
      <c r="H57" s="15"/>
      <c r="I57" s="15"/>
      <c r="J57" s="15"/>
      <c r="K57" s="15"/>
      <c r="L57" s="15"/>
      <c r="M57" s="15"/>
      <c r="N57" s="15"/>
      <c r="O57" s="15"/>
      <c r="P57" s="15"/>
      <c r="Q57" s="15"/>
      <c r="R57" s="15"/>
      <c r="S57" s="15"/>
      <c r="T57" s="15"/>
      <c r="U57" s="15"/>
      <c r="V57" s="24">
        <f t="shared" si="9"/>
        <v>2</v>
      </c>
    </row>
    <row r="58" ht="15.75" customHeight="1">
      <c r="A58" s="23" t="str">
        <f t="shared" si="8"/>
        <v>George Barbantan</v>
      </c>
      <c r="B58" s="15"/>
      <c r="C58" s="15"/>
      <c r="D58" s="15"/>
      <c r="E58" s="15"/>
      <c r="F58" s="15"/>
      <c r="G58" s="15"/>
      <c r="H58" s="15"/>
      <c r="I58" s="15"/>
      <c r="J58" s="15"/>
      <c r="K58" s="15"/>
      <c r="L58" s="15"/>
      <c r="M58" s="15"/>
      <c r="N58" s="15"/>
      <c r="O58" s="15"/>
      <c r="P58" s="15"/>
      <c r="Q58" s="15"/>
      <c r="R58" s="15"/>
      <c r="S58" s="15"/>
      <c r="T58" s="15"/>
      <c r="U58" s="15"/>
      <c r="V58" s="24">
        <f t="shared" si="9"/>
        <v>0</v>
      </c>
    </row>
    <row r="59" ht="15.75" customHeight="1">
      <c r="A59" s="23" t="str">
        <f t="shared" si="8"/>
        <v>Henry Linklater</v>
      </c>
      <c r="B59" s="15"/>
      <c r="C59" s="15"/>
      <c r="D59" s="15"/>
      <c r="E59" s="15"/>
      <c r="F59" s="15"/>
      <c r="G59" s="15"/>
      <c r="H59" s="15"/>
      <c r="I59" s="15"/>
      <c r="J59" s="15"/>
      <c r="K59" s="15"/>
      <c r="L59" s="15"/>
      <c r="M59" s="15"/>
      <c r="N59" s="15"/>
      <c r="O59" s="15"/>
      <c r="P59" s="15"/>
      <c r="Q59" s="15"/>
      <c r="R59" s="15"/>
      <c r="S59" s="15"/>
      <c r="T59" s="15"/>
      <c r="U59" s="15"/>
      <c r="V59" s="24">
        <f t="shared" si="9"/>
        <v>0</v>
      </c>
    </row>
    <row r="60" ht="15.75" customHeight="1">
      <c r="A60" s="23" t="str">
        <f t="shared" si="8"/>
        <v>Isaac Mond</v>
      </c>
      <c r="B60" s="15"/>
      <c r="C60" s="15"/>
      <c r="D60" s="15"/>
      <c r="E60" s="15"/>
      <c r="F60" s="15"/>
      <c r="G60" s="15"/>
      <c r="H60" s="15"/>
      <c r="I60" s="15"/>
      <c r="J60" s="15"/>
      <c r="K60" s="15"/>
      <c r="L60" s="15"/>
      <c r="M60" s="15"/>
      <c r="N60" s="15"/>
      <c r="O60" s="15"/>
      <c r="P60" s="15"/>
      <c r="Q60" s="15"/>
      <c r="R60" s="15"/>
      <c r="S60" s="15"/>
      <c r="T60" s="15"/>
      <c r="U60" s="15"/>
      <c r="V60" s="24">
        <f t="shared" si="9"/>
        <v>0</v>
      </c>
    </row>
    <row r="61" ht="15.75" customHeight="1">
      <c r="A61" s="23" t="str">
        <f t="shared" si="8"/>
        <v>Jake Harrison</v>
      </c>
      <c r="B61" s="15"/>
      <c r="C61" s="15"/>
      <c r="D61" s="15"/>
      <c r="E61" s="15"/>
      <c r="F61" s="15"/>
      <c r="G61" s="15"/>
      <c r="H61" s="15"/>
      <c r="I61" s="15"/>
      <c r="J61" s="15"/>
      <c r="K61" s="15"/>
      <c r="L61" s="15"/>
      <c r="M61" s="15"/>
      <c r="N61" s="15"/>
      <c r="O61" s="15"/>
      <c r="P61" s="15"/>
      <c r="Q61" s="15"/>
      <c r="R61" s="15"/>
      <c r="S61" s="15"/>
      <c r="T61" s="15"/>
      <c r="U61" s="15"/>
      <c r="V61" s="24">
        <f t="shared" si="9"/>
        <v>0</v>
      </c>
    </row>
    <row r="62" ht="15.75" customHeight="1">
      <c r="A62" s="23" t="str">
        <f t="shared" si="8"/>
        <v>Jake Ringer</v>
      </c>
      <c r="B62" s="15"/>
      <c r="C62" s="15"/>
      <c r="D62" s="15"/>
      <c r="E62" s="15"/>
      <c r="F62" s="15"/>
      <c r="G62" s="15"/>
      <c r="H62" s="15"/>
      <c r="I62" s="15"/>
      <c r="J62" s="15"/>
      <c r="K62" s="15"/>
      <c r="L62" s="15"/>
      <c r="M62" s="15"/>
      <c r="N62" s="15"/>
      <c r="O62" s="15"/>
      <c r="P62" s="15"/>
      <c r="Q62" s="15"/>
      <c r="R62" s="15"/>
      <c r="S62" s="15"/>
      <c r="T62" s="15"/>
      <c r="U62" s="15"/>
      <c r="V62" s="24">
        <f t="shared" si="9"/>
        <v>0</v>
      </c>
    </row>
    <row r="63" ht="15.75" customHeight="1">
      <c r="A63" s="23" t="str">
        <f t="shared" si="8"/>
        <v>Keshav Singh</v>
      </c>
      <c r="B63" s="15"/>
      <c r="C63" s="15"/>
      <c r="D63" s="15"/>
      <c r="E63" s="15"/>
      <c r="F63" s="15"/>
      <c r="G63" s="15"/>
      <c r="H63" s="15"/>
      <c r="I63" s="15"/>
      <c r="J63" s="15"/>
      <c r="K63" s="15"/>
      <c r="L63" s="15"/>
      <c r="M63" s="15"/>
      <c r="N63" s="15"/>
      <c r="O63" s="15"/>
      <c r="P63" s="15"/>
      <c r="Q63" s="15"/>
      <c r="R63" s="15"/>
      <c r="S63" s="15"/>
      <c r="T63" s="15"/>
      <c r="U63" s="15"/>
      <c r="V63" s="24">
        <f t="shared" si="9"/>
        <v>0</v>
      </c>
    </row>
    <row r="64" ht="15.75" customHeight="1">
      <c r="A64" s="23" t="str">
        <f t="shared" si="8"/>
        <v>Mark Pellowe</v>
      </c>
      <c r="B64" s="15"/>
      <c r="C64" s="15"/>
      <c r="D64" s="15"/>
      <c r="E64" s="15"/>
      <c r="F64" s="15"/>
      <c r="G64" s="15"/>
      <c r="H64" s="15"/>
      <c r="I64" s="15"/>
      <c r="J64" s="15"/>
      <c r="K64" s="15"/>
      <c r="L64" s="15"/>
      <c r="M64" s="15"/>
      <c r="N64" s="15"/>
      <c r="O64" s="15"/>
      <c r="P64" s="15"/>
      <c r="Q64" s="15"/>
      <c r="R64" s="15"/>
      <c r="S64" s="15"/>
      <c r="T64" s="15"/>
      <c r="U64" s="15"/>
      <c r="V64" s="24">
        <f t="shared" si="9"/>
        <v>0</v>
      </c>
    </row>
    <row r="65" ht="15.75" customHeight="1">
      <c r="A65" s="23" t="str">
        <f t="shared" si="8"/>
        <v>Max Cobain</v>
      </c>
      <c r="B65" s="15"/>
      <c r="C65" s="15"/>
      <c r="D65" s="15"/>
      <c r="E65" s="15"/>
      <c r="F65" s="15"/>
      <c r="G65" s="15"/>
      <c r="H65" s="15"/>
      <c r="I65" s="15"/>
      <c r="J65" s="15"/>
      <c r="K65" s="15"/>
      <c r="L65" s="15"/>
      <c r="M65" s="15"/>
      <c r="N65" s="15"/>
      <c r="O65" s="15"/>
      <c r="P65" s="15"/>
      <c r="Q65" s="15"/>
      <c r="R65" s="15"/>
      <c r="S65" s="15"/>
      <c r="T65" s="15"/>
      <c r="U65" s="15"/>
      <c r="V65" s="24">
        <f t="shared" si="9"/>
        <v>0</v>
      </c>
    </row>
    <row r="66" ht="15.75" customHeight="1">
      <c r="A66" s="23" t="str">
        <f t="shared" si="8"/>
        <v>Neeraj Radia</v>
      </c>
      <c r="B66" s="15"/>
      <c r="C66" s="15"/>
      <c r="D66" s="15"/>
      <c r="E66" s="15"/>
      <c r="F66" s="15"/>
      <c r="G66" s="15"/>
      <c r="H66" s="15"/>
      <c r="I66" s="15"/>
      <c r="J66" s="15"/>
      <c r="K66" s="15"/>
      <c r="L66" s="15"/>
      <c r="M66" s="15"/>
      <c r="N66" s="15"/>
      <c r="O66" s="15"/>
      <c r="P66" s="15"/>
      <c r="Q66" s="15"/>
      <c r="R66" s="15"/>
      <c r="S66" s="15"/>
      <c r="T66" s="15"/>
      <c r="U66" s="15"/>
      <c r="V66" s="24">
        <f t="shared" si="9"/>
        <v>0</v>
      </c>
    </row>
    <row r="67" ht="15.75" customHeight="1">
      <c r="A67" s="23" t="str">
        <f t="shared" si="8"/>
        <v>Phil Knott</v>
      </c>
      <c r="B67" s="15"/>
      <c r="C67" s="15"/>
      <c r="D67" s="15"/>
      <c r="E67" s="15"/>
      <c r="F67" s="15"/>
      <c r="G67" s="15"/>
      <c r="H67" s="15"/>
      <c r="I67" s="15"/>
      <c r="J67" s="15"/>
      <c r="K67" s="15"/>
      <c r="L67" s="15"/>
      <c r="M67" s="15"/>
      <c r="N67" s="15"/>
      <c r="O67" s="15"/>
      <c r="P67" s="15"/>
      <c r="Q67" s="15"/>
      <c r="R67" s="15"/>
      <c r="S67" s="15"/>
      <c r="T67" s="15"/>
      <c r="U67" s="15"/>
      <c r="V67" s="24">
        <f t="shared" si="9"/>
        <v>0</v>
      </c>
    </row>
    <row r="68" ht="15.75" customHeight="1">
      <c r="A68" s="23" t="str">
        <f t="shared" si="8"/>
        <v>Robin</v>
      </c>
      <c r="B68" s="15"/>
      <c r="C68" s="15"/>
      <c r="D68" s="15"/>
      <c r="E68" s="15"/>
      <c r="F68" s="15"/>
      <c r="G68" s="15"/>
      <c r="H68" s="15"/>
      <c r="I68" s="15"/>
      <c r="J68" s="15"/>
      <c r="K68" s="15"/>
      <c r="L68" s="15"/>
      <c r="M68" s="15"/>
      <c r="N68" s="15"/>
      <c r="O68" s="15"/>
      <c r="P68" s="15"/>
      <c r="Q68" s="15"/>
      <c r="R68" s="15"/>
      <c r="S68" s="15"/>
      <c r="T68" s="15"/>
      <c r="U68" s="15"/>
      <c r="V68" s="24">
        <f t="shared" si="9"/>
        <v>0</v>
      </c>
    </row>
    <row r="69" ht="15.75" customHeight="1">
      <c r="A69" s="23" t="str">
        <f t="shared" si="8"/>
        <v>Sam Holt</v>
      </c>
      <c r="B69" s="15"/>
      <c r="C69" s="15"/>
      <c r="D69" s="15"/>
      <c r="E69" s="15"/>
      <c r="F69" s="15"/>
      <c r="G69" s="15"/>
      <c r="H69" s="15"/>
      <c r="I69" s="15"/>
      <c r="J69" s="15"/>
      <c r="K69" s="15"/>
      <c r="L69" s="15"/>
      <c r="M69" s="15"/>
      <c r="N69" s="15"/>
      <c r="O69" s="15"/>
      <c r="P69" s="15"/>
      <c r="Q69" s="15"/>
      <c r="R69" s="15"/>
      <c r="S69" s="15"/>
      <c r="T69" s="15"/>
      <c r="U69" s="15"/>
      <c r="V69" s="24">
        <f t="shared" si="9"/>
        <v>0</v>
      </c>
    </row>
    <row r="70" ht="15.75" customHeight="1">
      <c r="A70" s="23" t="str">
        <f t="shared" si="8"/>
        <v>Seb Burgess</v>
      </c>
      <c r="B70" s="27">
        <v>3.0</v>
      </c>
      <c r="C70" s="15"/>
      <c r="D70" s="15"/>
      <c r="E70" s="15"/>
      <c r="F70" s="15"/>
      <c r="G70" s="15"/>
      <c r="H70" s="15"/>
      <c r="I70" s="15"/>
      <c r="J70" s="15"/>
      <c r="K70" s="15"/>
      <c r="L70" s="15"/>
      <c r="M70" s="15"/>
      <c r="N70" s="15"/>
      <c r="O70" s="15"/>
      <c r="P70" s="15"/>
      <c r="Q70" s="15"/>
      <c r="R70" s="15"/>
      <c r="S70" s="15"/>
      <c r="T70" s="15"/>
      <c r="U70" s="15"/>
      <c r="V70" s="24">
        <f t="shared" si="9"/>
        <v>3</v>
      </c>
    </row>
    <row r="71" ht="15.75" customHeight="1">
      <c r="A71" s="23" t="str">
        <f t="shared" si="8"/>
        <v/>
      </c>
      <c r="B71" s="15"/>
      <c r="C71" s="15"/>
      <c r="D71" s="15"/>
      <c r="E71" s="15"/>
      <c r="F71" s="15"/>
      <c r="G71" s="15"/>
      <c r="H71" s="15"/>
      <c r="I71" s="15"/>
      <c r="J71" s="15"/>
      <c r="K71" s="15"/>
      <c r="L71" s="15"/>
      <c r="M71" s="15"/>
      <c r="N71" s="15"/>
      <c r="O71" s="15"/>
      <c r="P71" s="15"/>
      <c r="Q71" s="15"/>
      <c r="R71" s="15"/>
      <c r="S71" s="15"/>
      <c r="T71" s="15"/>
      <c r="U71" s="15"/>
      <c r="V71" s="24">
        <f t="shared" si="9"/>
        <v>0</v>
      </c>
    </row>
    <row r="72" ht="15.75" customHeight="1">
      <c r="A72" s="23" t="str">
        <f t="shared" si="8"/>
        <v/>
      </c>
      <c r="B72" s="15"/>
      <c r="C72" s="15"/>
      <c r="D72" s="15"/>
      <c r="E72" s="15"/>
      <c r="F72" s="15"/>
      <c r="G72" s="15"/>
      <c r="H72" s="15"/>
      <c r="I72" s="15"/>
      <c r="J72" s="15"/>
      <c r="K72" s="15"/>
      <c r="L72" s="15"/>
      <c r="M72" s="15"/>
      <c r="N72" s="15"/>
      <c r="O72" s="15"/>
      <c r="P72" s="15"/>
      <c r="Q72" s="15"/>
      <c r="R72" s="15"/>
      <c r="S72" s="15"/>
      <c r="T72" s="15"/>
      <c r="U72" s="15"/>
      <c r="V72" s="24">
        <f t="shared" si="9"/>
        <v>0</v>
      </c>
    </row>
    <row r="73" ht="15.75" customHeight="1">
      <c r="A73" s="23" t="str">
        <f t="shared" si="8"/>
        <v/>
      </c>
      <c r="B73" s="15"/>
      <c r="C73" s="15"/>
      <c r="D73" s="15"/>
      <c r="E73" s="15"/>
      <c r="F73" s="15"/>
      <c r="G73" s="15"/>
      <c r="H73" s="15"/>
      <c r="I73" s="15"/>
      <c r="J73" s="15"/>
      <c r="K73" s="15"/>
      <c r="L73" s="15"/>
      <c r="M73" s="15"/>
      <c r="N73" s="15"/>
      <c r="O73" s="15"/>
      <c r="P73" s="15"/>
      <c r="Q73" s="15"/>
      <c r="R73" s="15"/>
      <c r="S73" s="15"/>
      <c r="T73" s="15"/>
      <c r="U73" s="15"/>
      <c r="V73" s="24">
        <f t="shared" si="9"/>
        <v>0</v>
      </c>
    </row>
    <row r="74" ht="15.75" customHeight="1">
      <c r="A74" s="23" t="str">
        <f t="shared" si="8"/>
        <v/>
      </c>
      <c r="B74" s="15"/>
      <c r="C74" s="15"/>
      <c r="D74" s="15"/>
      <c r="E74" s="15"/>
      <c r="F74" s="15"/>
      <c r="G74" s="15"/>
      <c r="H74" s="15"/>
      <c r="I74" s="15"/>
      <c r="J74" s="15"/>
      <c r="K74" s="15"/>
      <c r="L74" s="15"/>
      <c r="M74" s="15"/>
      <c r="N74" s="15"/>
      <c r="O74" s="15"/>
      <c r="P74" s="15"/>
      <c r="Q74" s="15"/>
      <c r="R74" s="15"/>
      <c r="S74" s="15"/>
      <c r="T74" s="15"/>
      <c r="U74" s="15"/>
      <c r="V74" s="24">
        <f t="shared" si="9"/>
        <v>0</v>
      </c>
    </row>
    <row r="75" ht="15.75" customHeight="1">
      <c r="A75" s="23" t="str">
        <f t="shared" si="8"/>
        <v/>
      </c>
      <c r="B75" s="15"/>
      <c r="C75" s="15"/>
      <c r="D75" s="15"/>
      <c r="E75" s="15"/>
      <c r="F75" s="15"/>
      <c r="G75" s="15"/>
      <c r="H75" s="15"/>
      <c r="I75" s="15"/>
      <c r="J75" s="15"/>
      <c r="K75" s="15"/>
      <c r="L75" s="15"/>
      <c r="M75" s="15"/>
      <c r="N75" s="15"/>
      <c r="O75" s="15"/>
      <c r="P75" s="15"/>
      <c r="Q75" s="15"/>
      <c r="R75" s="15"/>
      <c r="S75" s="15"/>
      <c r="T75" s="15"/>
      <c r="U75" s="15"/>
      <c r="V75" s="24">
        <f t="shared" si="9"/>
        <v>0</v>
      </c>
    </row>
    <row r="76" ht="15.75" customHeight="1">
      <c r="A76" s="23" t="str">
        <f t="shared" si="8"/>
        <v/>
      </c>
      <c r="B76" s="15"/>
      <c r="C76" s="15"/>
      <c r="D76" s="15"/>
      <c r="E76" s="15"/>
      <c r="F76" s="15"/>
      <c r="G76" s="15"/>
      <c r="H76" s="15"/>
      <c r="I76" s="15"/>
      <c r="J76" s="15"/>
      <c r="K76" s="15"/>
      <c r="L76" s="15"/>
      <c r="M76" s="15"/>
      <c r="N76" s="15"/>
      <c r="O76" s="15"/>
      <c r="P76" s="15"/>
      <c r="Q76" s="15"/>
      <c r="R76" s="15"/>
      <c r="S76" s="15"/>
      <c r="T76" s="15"/>
      <c r="U76" s="15"/>
      <c r="V76" s="24">
        <f t="shared" si="9"/>
        <v>0</v>
      </c>
    </row>
    <row r="77" ht="15.75" customHeight="1">
      <c r="A77" s="7" t="s">
        <v>144</v>
      </c>
      <c r="V77" s="24">
        <f>SUM(V49:V76)</f>
        <v>5</v>
      </c>
    </row>
    <row r="78" ht="15.75" customHeight="1"/>
    <row r="79" ht="15.75" customHeight="1">
      <c r="A79" s="21" t="s">
        <v>148</v>
      </c>
      <c r="B79" s="22" t="s">
        <v>41</v>
      </c>
      <c r="C79" s="22" t="s">
        <v>42</v>
      </c>
      <c r="D79" s="22" t="s">
        <v>43</v>
      </c>
      <c r="E79" s="22" t="s">
        <v>44</v>
      </c>
      <c r="F79" s="22" t="s">
        <v>45</v>
      </c>
      <c r="G79" s="22" t="s">
        <v>46</v>
      </c>
      <c r="H79" s="22" t="s">
        <v>47</v>
      </c>
      <c r="I79" s="22" t="s">
        <v>48</v>
      </c>
      <c r="J79" s="22" t="s">
        <v>49</v>
      </c>
      <c r="K79" s="22" t="s">
        <v>50</v>
      </c>
      <c r="L79" s="22" t="s">
        <v>51</v>
      </c>
      <c r="M79" s="22" t="s">
        <v>52</v>
      </c>
      <c r="N79" s="22" t="s">
        <v>53</v>
      </c>
      <c r="O79" s="22" t="s">
        <v>54</v>
      </c>
      <c r="P79" s="22" t="s">
        <v>55</v>
      </c>
      <c r="Q79" s="22" t="s">
        <v>56</v>
      </c>
      <c r="R79" s="22" t="s">
        <v>57</v>
      </c>
      <c r="S79" s="22" t="s">
        <v>58</v>
      </c>
      <c r="T79" s="22" t="s">
        <v>59</v>
      </c>
      <c r="U79" s="22" t="s">
        <v>60</v>
      </c>
      <c r="V79" s="22" t="s">
        <v>149</v>
      </c>
    </row>
    <row r="80" ht="15.75" customHeight="1">
      <c r="A80" s="23" t="str">
        <f t="shared" ref="A80:A107" si="10">IF($A18="","",$A18)</f>
        <v>Ahmed</v>
      </c>
      <c r="B80" s="15"/>
      <c r="C80" s="15"/>
      <c r="D80" s="15"/>
      <c r="E80" s="15"/>
      <c r="F80" s="15"/>
      <c r="G80" s="15"/>
      <c r="H80" s="15"/>
      <c r="I80" s="15"/>
      <c r="J80" s="15"/>
      <c r="K80" s="15"/>
      <c r="L80" s="15"/>
      <c r="M80" s="15"/>
      <c r="N80" s="15"/>
      <c r="O80" s="15"/>
      <c r="P80" s="15"/>
      <c r="Q80" s="15"/>
      <c r="R80" s="15"/>
      <c r="S80" s="15"/>
      <c r="T80" s="15"/>
      <c r="U80" s="15"/>
      <c r="V80" s="24">
        <f t="shared" ref="V80:V107" si="11">SUMPRODUCT(B80:U80*($B$16:$U$16=""))</f>
        <v>0</v>
      </c>
    </row>
    <row r="81" ht="15.75" customHeight="1">
      <c r="A81" s="23" t="str">
        <f t="shared" si="10"/>
        <v>Alex Ruben</v>
      </c>
      <c r="B81" s="15"/>
      <c r="C81" s="15"/>
      <c r="D81" s="15"/>
      <c r="E81" s="15"/>
      <c r="F81" s="15"/>
      <c r="G81" s="15"/>
      <c r="H81" s="15"/>
      <c r="I81" s="15"/>
      <c r="J81" s="15"/>
      <c r="K81" s="15"/>
      <c r="L81" s="15"/>
      <c r="M81" s="15"/>
      <c r="N81" s="15"/>
      <c r="O81" s="15"/>
      <c r="P81" s="15"/>
      <c r="Q81" s="15"/>
      <c r="R81" s="15"/>
      <c r="S81" s="15"/>
      <c r="T81" s="15"/>
      <c r="U81" s="15"/>
      <c r="V81" s="24">
        <f t="shared" si="11"/>
        <v>0</v>
      </c>
    </row>
    <row r="82" ht="15.75" customHeight="1">
      <c r="A82" s="23" t="str">
        <f t="shared" si="10"/>
        <v>Andy Cowan</v>
      </c>
      <c r="B82" s="15"/>
      <c r="C82" s="15"/>
      <c r="D82" s="15"/>
      <c r="E82" s="15"/>
      <c r="F82" s="15"/>
      <c r="G82" s="15"/>
      <c r="H82" s="15"/>
      <c r="I82" s="15"/>
      <c r="J82" s="15"/>
      <c r="K82" s="15"/>
      <c r="L82" s="15"/>
      <c r="M82" s="15"/>
      <c r="N82" s="15"/>
      <c r="O82" s="15"/>
      <c r="P82" s="15"/>
      <c r="Q82" s="15"/>
      <c r="R82" s="15"/>
      <c r="S82" s="15"/>
      <c r="T82" s="15"/>
      <c r="U82" s="15"/>
      <c r="V82" s="24">
        <f t="shared" si="11"/>
        <v>0</v>
      </c>
    </row>
    <row r="83" ht="15.75" customHeight="1">
      <c r="A83" s="23" t="str">
        <f t="shared" si="10"/>
        <v>Ben Merrett</v>
      </c>
      <c r="B83" s="15"/>
      <c r="C83" s="15"/>
      <c r="D83" s="15"/>
      <c r="E83" s="15"/>
      <c r="F83" s="15"/>
      <c r="G83" s="15"/>
      <c r="H83" s="15"/>
      <c r="I83" s="15"/>
      <c r="J83" s="15"/>
      <c r="K83" s="15"/>
      <c r="L83" s="15"/>
      <c r="M83" s="15"/>
      <c r="N83" s="15"/>
      <c r="O83" s="15"/>
      <c r="P83" s="15"/>
      <c r="Q83" s="15"/>
      <c r="R83" s="15"/>
      <c r="S83" s="15"/>
      <c r="T83" s="15"/>
      <c r="U83" s="15"/>
      <c r="V83" s="24">
        <f t="shared" si="11"/>
        <v>0</v>
      </c>
    </row>
    <row r="84" ht="15.75" customHeight="1">
      <c r="A84" s="23" t="str">
        <f t="shared" si="10"/>
        <v>Callum McCarthy</v>
      </c>
      <c r="B84" s="15"/>
      <c r="C84" s="15"/>
      <c r="D84" s="15"/>
      <c r="E84" s="15"/>
      <c r="F84" s="15"/>
      <c r="G84" s="15"/>
      <c r="H84" s="15"/>
      <c r="I84" s="15"/>
      <c r="J84" s="15"/>
      <c r="K84" s="15"/>
      <c r="L84" s="15"/>
      <c r="M84" s="15"/>
      <c r="N84" s="15"/>
      <c r="O84" s="15"/>
      <c r="P84" s="15"/>
      <c r="Q84" s="15"/>
      <c r="R84" s="15"/>
      <c r="S84" s="15"/>
      <c r="T84" s="15"/>
      <c r="U84" s="15"/>
      <c r="V84" s="24">
        <f t="shared" si="11"/>
        <v>0</v>
      </c>
    </row>
    <row r="85" ht="15.75" customHeight="1">
      <c r="A85" s="23" t="str">
        <f t="shared" si="10"/>
        <v>Cecil Watson</v>
      </c>
      <c r="B85" s="15"/>
      <c r="C85" s="15"/>
      <c r="D85" s="15"/>
      <c r="E85" s="15"/>
      <c r="F85" s="15"/>
      <c r="G85" s="15"/>
      <c r="H85" s="15"/>
      <c r="I85" s="15"/>
      <c r="J85" s="15"/>
      <c r="K85" s="15"/>
      <c r="L85" s="15"/>
      <c r="M85" s="15"/>
      <c r="N85" s="15"/>
      <c r="O85" s="15"/>
      <c r="P85" s="15"/>
      <c r="Q85" s="15"/>
      <c r="R85" s="15"/>
      <c r="S85" s="15"/>
      <c r="T85" s="15"/>
      <c r="U85" s="15"/>
      <c r="V85" s="24">
        <f t="shared" si="11"/>
        <v>0</v>
      </c>
    </row>
    <row r="86" ht="15.75" customHeight="1">
      <c r="A86" s="23" t="str">
        <f t="shared" si="10"/>
        <v>Conall Templeman</v>
      </c>
      <c r="B86" s="15"/>
      <c r="C86" s="15"/>
      <c r="D86" s="15"/>
      <c r="E86" s="15"/>
      <c r="F86" s="15"/>
      <c r="G86" s="15"/>
      <c r="H86" s="15"/>
      <c r="I86" s="15"/>
      <c r="J86" s="15"/>
      <c r="K86" s="15"/>
      <c r="L86" s="15"/>
      <c r="M86" s="15"/>
      <c r="N86" s="15"/>
      <c r="O86" s="15"/>
      <c r="P86" s="15"/>
      <c r="Q86" s="15"/>
      <c r="R86" s="15"/>
      <c r="S86" s="15"/>
      <c r="T86" s="15"/>
      <c r="U86" s="15"/>
      <c r="V86" s="24">
        <f t="shared" si="11"/>
        <v>0</v>
      </c>
    </row>
    <row r="87" ht="15.75" customHeight="1">
      <c r="A87" s="23" t="str">
        <f t="shared" si="10"/>
        <v>Eddie Ringer</v>
      </c>
      <c r="B87" s="15"/>
      <c r="C87" s="15"/>
      <c r="D87" s="15"/>
      <c r="E87" s="15"/>
      <c r="F87" s="15"/>
      <c r="G87" s="15"/>
      <c r="H87" s="15"/>
      <c r="I87" s="15"/>
      <c r="J87" s="15"/>
      <c r="K87" s="15"/>
      <c r="L87" s="15"/>
      <c r="M87" s="15"/>
      <c r="N87" s="15"/>
      <c r="O87" s="15"/>
      <c r="P87" s="15"/>
      <c r="Q87" s="15"/>
      <c r="R87" s="15"/>
      <c r="S87" s="15"/>
      <c r="T87" s="15"/>
      <c r="U87" s="15"/>
      <c r="V87" s="24">
        <f t="shared" si="11"/>
        <v>0</v>
      </c>
    </row>
    <row r="88" ht="15.75" customHeight="1">
      <c r="A88" s="23" t="str">
        <f t="shared" si="10"/>
        <v>Finn Cawley</v>
      </c>
      <c r="B88" s="15"/>
      <c r="C88" s="15"/>
      <c r="D88" s="15"/>
      <c r="E88" s="15"/>
      <c r="F88" s="15"/>
      <c r="G88" s="15"/>
      <c r="H88" s="15"/>
      <c r="I88" s="15"/>
      <c r="J88" s="15"/>
      <c r="K88" s="15"/>
      <c r="L88" s="15"/>
      <c r="M88" s="15"/>
      <c r="N88" s="15"/>
      <c r="O88" s="15"/>
      <c r="P88" s="15"/>
      <c r="Q88" s="15"/>
      <c r="R88" s="15"/>
      <c r="S88" s="15"/>
      <c r="T88" s="15"/>
      <c r="U88" s="15"/>
      <c r="V88" s="24">
        <f t="shared" si="11"/>
        <v>0</v>
      </c>
    </row>
    <row r="89" ht="15.75" customHeight="1">
      <c r="A89" s="23" t="str">
        <f t="shared" si="10"/>
        <v>George Barbantan</v>
      </c>
      <c r="B89" s="15"/>
      <c r="C89" s="15"/>
      <c r="D89" s="15"/>
      <c r="E89" s="15"/>
      <c r="F89" s="15"/>
      <c r="G89" s="15"/>
      <c r="H89" s="15"/>
      <c r="I89" s="15"/>
      <c r="J89" s="15"/>
      <c r="K89" s="15"/>
      <c r="L89" s="15"/>
      <c r="M89" s="15"/>
      <c r="N89" s="15"/>
      <c r="O89" s="15"/>
      <c r="P89" s="15"/>
      <c r="Q89" s="15"/>
      <c r="R89" s="15"/>
      <c r="S89" s="15"/>
      <c r="T89" s="15"/>
      <c r="U89" s="15"/>
      <c r="V89" s="24">
        <f t="shared" si="11"/>
        <v>0</v>
      </c>
    </row>
    <row r="90" ht="15.75" customHeight="1">
      <c r="A90" s="23" t="str">
        <f t="shared" si="10"/>
        <v>Henry Linklater</v>
      </c>
      <c r="B90" s="15"/>
      <c r="C90" s="15"/>
      <c r="D90" s="15"/>
      <c r="E90" s="15"/>
      <c r="F90" s="15"/>
      <c r="G90" s="15"/>
      <c r="H90" s="15"/>
      <c r="I90" s="15"/>
      <c r="J90" s="15"/>
      <c r="K90" s="15"/>
      <c r="L90" s="15"/>
      <c r="M90" s="15"/>
      <c r="N90" s="15"/>
      <c r="O90" s="15"/>
      <c r="P90" s="15"/>
      <c r="Q90" s="15"/>
      <c r="R90" s="15"/>
      <c r="S90" s="15"/>
      <c r="T90" s="15"/>
      <c r="U90" s="15"/>
      <c r="V90" s="24">
        <f t="shared" si="11"/>
        <v>0</v>
      </c>
    </row>
    <row r="91" ht="15.75" customHeight="1">
      <c r="A91" s="23" t="str">
        <f t="shared" si="10"/>
        <v>Isaac Mond</v>
      </c>
      <c r="B91" s="27">
        <v>1.0</v>
      </c>
      <c r="C91" s="15"/>
      <c r="D91" s="15"/>
      <c r="E91" s="15"/>
      <c r="F91" s="15"/>
      <c r="G91" s="15"/>
      <c r="H91" s="15"/>
      <c r="I91" s="15"/>
      <c r="J91" s="15"/>
      <c r="K91" s="15"/>
      <c r="L91" s="15"/>
      <c r="M91" s="15"/>
      <c r="N91" s="15"/>
      <c r="O91" s="15"/>
      <c r="P91" s="15"/>
      <c r="Q91" s="15"/>
      <c r="R91" s="15"/>
      <c r="S91" s="15"/>
      <c r="T91" s="15"/>
      <c r="U91" s="15"/>
      <c r="V91" s="24">
        <f t="shared" si="11"/>
        <v>1</v>
      </c>
    </row>
    <row r="92" ht="15.75" customHeight="1">
      <c r="A92" s="23" t="str">
        <f t="shared" si="10"/>
        <v>Jake Harrison</v>
      </c>
      <c r="B92" s="15"/>
      <c r="C92" s="15"/>
      <c r="D92" s="15"/>
      <c r="E92" s="15"/>
      <c r="F92" s="15"/>
      <c r="G92" s="15"/>
      <c r="H92" s="15"/>
      <c r="I92" s="15"/>
      <c r="J92" s="15"/>
      <c r="K92" s="15"/>
      <c r="L92" s="15"/>
      <c r="M92" s="15"/>
      <c r="N92" s="15"/>
      <c r="O92" s="15"/>
      <c r="P92" s="15"/>
      <c r="Q92" s="15"/>
      <c r="R92" s="15"/>
      <c r="S92" s="15"/>
      <c r="T92" s="15"/>
      <c r="U92" s="15"/>
      <c r="V92" s="24">
        <f t="shared" si="11"/>
        <v>0</v>
      </c>
    </row>
    <row r="93" ht="15.75" customHeight="1">
      <c r="A93" s="23" t="str">
        <f t="shared" si="10"/>
        <v>Jake Ringer</v>
      </c>
      <c r="B93" s="15"/>
      <c r="C93" s="15"/>
      <c r="D93" s="15"/>
      <c r="E93" s="15"/>
      <c r="F93" s="15"/>
      <c r="G93" s="15"/>
      <c r="H93" s="15"/>
      <c r="I93" s="15"/>
      <c r="J93" s="15"/>
      <c r="K93" s="15"/>
      <c r="L93" s="15"/>
      <c r="M93" s="15"/>
      <c r="N93" s="15"/>
      <c r="O93" s="15"/>
      <c r="P93" s="15"/>
      <c r="Q93" s="15"/>
      <c r="R93" s="15"/>
      <c r="S93" s="15"/>
      <c r="T93" s="15"/>
      <c r="U93" s="15"/>
      <c r="V93" s="24">
        <f t="shared" si="11"/>
        <v>0</v>
      </c>
    </row>
    <row r="94" ht="15.75" customHeight="1">
      <c r="A94" s="23" t="str">
        <f t="shared" si="10"/>
        <v>Keshav Singh</v>
      </c>
      <c r="B94" s="27">
        <v>1.0</v>
      </c>
      <c r="C94" s="15"/>
      <c r="D94" s="15"/>
      <c r="E94" s="15"/>
      <c r="F94" s="15"/>
      <c r="G94" s="15"/>
      <c r="H94" s="15"/>
      <c r="I94" s="15"/>
      <c r="J94" s="15"/>
      <c r="K94" s="15"/>
      <c r="L94" s="15"/>
      <c r="M94" s="15"/>
      <c r="N94" s="15"/>
      <c r="O94" s="15"/>
      <c r="P94" s="15"/>
      <c r="Q94" s="15"/>
      <c r="R94" s="15"/>
      <c r="S94" s="15"/>
      <c r="T94" s="15"/>
      <c r="U94" s="15"/>
      <c r="V94" s="24">
        <f t="shared" si="11"/>
        <v>1</v>
      </c>
    </row>
    <row r="95" ht="15.75" customHeight="1">
      <c r="A95" s="23" t="str">
        <f t="shared" si="10"/>
        <v>Mark Pellowe</v>
      </c>
      <c r="B95" s="15"/>
      <c r="C95" s="15"/>
      <c r="D95" s="15"/>
      <c r="E95" s="15"/>
      <c r="F95" s="15"/>
      <c r="G95" s="15"/>
      <c r="H95" s="15"/>
      <c r="I95" s="15"/>
      <c r="J95" s="15"/>
      <c r="K95" s="15"/>
      <c r="L95" s="15"/>
      <c r="M95" s="15"/>
      <c r="N95" s="15"/>
      <c r="O95" s="15"/>
      <c r="P95" s="15"/>
      <c r="Q95" s="15"/>
      <c r="R95" s="15"/>
      <c r="S95" s="15"/>
      <c r="T95" s="15"/>
      <c r="U95" s="15"/>
      <c r="V95" s="24">
        <f t="shared" si="11"/>
        <v>0</v>
      </c>
    </row>
    <row r="96" ht="15.75" customHeight="1">
      <c r="A96" s="23" t="str">
        <f t="shared" si="10"/>
        <v>Max Cobain</v>
      </c>
      <c r="B96" s="27">
        <v>2.0</v>
      </c>
      <c r="C96" s="15"/>
      <c r="D96" s="15"/>
      <c r="E96" s="15"/>
      <c r="F96" s="15"/>
      <c r="G96" s="15"/>
      <c r="H96" s="15"/>
      <c r="I96" s="15"/>
      <c r="J96" s="15"/>
      <c r="K96" s="15"/>
      <c r="L96" s="15"/>
      <c r="M96" s="15"/>
      <c r="N96" s="15"/>
      <c r="O96" s="15"/>
      <c r="P96" s="15"/>
      <c r="Q96" s="15"/>
      <c r="R96" s="15"/>
      <c r="S96" s="15"/>
      <c r="T96" s="15"/>
      <c r="U96" s="15"/>
      <c r="V96" s="24">
        <f t="shared" si="11"/>
        <v>2</v>
      </c>
    </row>
    <row r="97" ht="15.75" customHeight="1">
      <c r="A97" s="23" t="str">
        <f t="shared" si="10"/>
        <v>Neeraj Radia</v>
      </c>
      <c r="B97" s="15"/>
      <c r="C97" s="15"/>
      <c r="D97" s="15"/>
      <c r="E97" s="15"/>
      <c r="F97" s="15"/>
      <c r="G97" s="15"/>
      <c r="H97" s="15"/>
      <c r="I97" s="15"/>
      <c r="J97" s="15"/>
      <c r="K97" s="15"/>
      <c r="L97" s="15"/>
      <c r="M97" s="15"/>
      <c r="N97" s="15"/>
      <c r="O97" s="15"/>
      <c r="P97" s="15"/>
      <c r="Q97" s="15"/>
      <c r="R97" s="15"/>
      <c r="S97" s="15"/>
      <c r="T97" s="15"/>
      <c r="U97" s="15"/>
      <c r="V97" s="24">
        <f t="shared" si="11"/>
        <v>0</v>
      </c>
    </row>
    <row r="98" ht="15.75" customHeight="1">
      <c r="A98" s="23" t="str">
        <f t="shared" si="10"/>
        <v>Phil Knott</v>
      </c>
      <c r="B98" s="27">
        <v>1.0</v>
      </c>
      <c r="C98" s="15"/>
      <c r="D98" s="15"/>
      <c r="E98" s="15"/>
      <c r="F98" s="15"/>
      <c r="G98" s="15"/>
      <c r="H98" s="15"/>
      <c r="I98" s="15"/>
      <c r="J98" s="15"/>
      <c r="K98" s="15"/>
      <c r="L98" s="15"/>
      <c r="M98" s="15"/>
      <c r="N98" s="15"/>
      <c r="O98" s="15"/>
      <c r="P98" s="15"/>
      <c r="Q98" s="15"/>
      <c r="R98" s="15"/>
      <c r="S98" s="15"/>
      <c r="T98" s="15"/>
      <c r="U98" s="15"/>
      <c r="V98" s="24">
        <f t="shared" si="11"/>
        <v>1</v>
      </c>
    </row>
    <row r="99" ht="15.75" customHeight="1">
      <c r="A99" s="23" t="str">
        <f t="shared" si="10"/>
        <v>Robin</v>
      </c>
      <c r="B99" s="15"/>
      <c r="C99" s="15"/>
      <c r="D99" s="15"/>
      <c r="E99" s="15"/>
      <c r="F99" s="15"/>
      <c r="G99" s="15"/>
      <c r="H99" s="15"/>
      <c r="I99" s="15"/>
      <c r="J99" s="15"/>
      <c r="K99" s="15"/>
      <c r="L99" s="15"/>
      <c r="M99" s="15"/>
      <c r="N99" s="15"/>
      <c r="O99" s="15"/>
      <c r="P99" s="15"/>
      <c r="Q99" s="15"/>
      <c r="R99" s="15"/>
      <c r="S99" s="15"/>
      <c r="T99" s="15"/>
      <c r="U99" s="15"/>
      <c r="V99" s="24">
        <f t="shared" si="11"/>
        <v>0</v>
      </c>
    </row>
    <row r="100" ht="15.75" customHeight="1">
      <c r="A100" s="23" t="str">
        <f t="shared" si="10"/>
        <v>Sam Holt</v>
      </c>
      <c r="B100" s="15"/>
      <c r="C100" s="15"/>
      <c r="D100" s="15"/>
      <c r="E100" s="15"/>
      <c r="F100" s="15"/>
      <c r="G100" s="15"/>
      <c r="H100" s="15"/>
      <c r="I100" s="15"/>
      <c r="J100" s="15"/>
      <c r="K100" s="15"/>
      <c r="L100" s="15"/>
      <c r="M100" s="15"/>
      <c r="N100" s="15"/>
      <c r="O100" s="15"/>
      <c r="P100" s="15"/>
      <c r="Q100" s="15"/>
      <c r="R100" s="15"/>
      <c r="S100" s="15"/>
      <c r="T100" s="15"/>
      <c r="U100" s="15"/>
      <c r="V100" s="24">
        <f t="shared" si="11"/>
        <v>0</v>
      </c>
    </row>
    <row r="101" ht="15.75" customHeight="1">
      <c r="A101" s="23" t="str">
        <f t="shared" si="10"/>
        <v>Seb Burgess</v>
      </c>
      <c r="B101" s="15"/>
      <c r="C101" s="15"/>
      <c r="D101" s="15"/>
      <c r="E101" s="15"/>
      <c r="F101" s="15"/>
      <c r="G101" s="15"/>
      <c r="H101" s="15"/>
      <c r="I101" s="15"/>
      <c r="J101" s="15"/>
      <c r="K101" s="15"/>
      <c r="L101" s="15"/>
      <c r="M101" s="15"/>
      <c r="N101" s="15"/>
      <c r="O101" s="15"/>
      <c r="P101" s="15"/>
      <c r="Q101" s="15"/>
      <c r="R101" s="15"/>
      <c r="S101" s="15"/>
      <c r="T101" s="15"/>
      <c r="U101" s="15"/>
      <c r="V101" s="24">
        <f t="shared" si="11"/>
        <v>0</v>
      </c>
    </row>
    <row r="102" ht="15.75" customHeight="1">
      <c r="A102" s="23" t="str">
        <f t="shared" si="10"/>
        <v/>
      </c>
      <c r="B102" s="15"/>
      <c r="C102" s="15"/>
      <c r="D102" s="15"/>
      <c r="E102" s="15"/>
      <c r="F102" s="15"/>
      <c r="G102" s="15"/>
      <c r="H102" s="15"/>
      <c r="I102" s="15"/>
      <c r="J102" s="15"/>
      <c r="K102" s="15"/>
      <c r="L102" s="15"/>
      <c r="M102" s="15"/>
      <c r="N102" s="15"/>
      <c r="O102" s="15"/>
      <c r="P102" s="15"/>
      <c r="Q102" s="15"/>
      <c r="R102" s="15"/>
      <c r="S102" s="15"/>
      <c r="T102" s="15"/>
      <c r="U102" s="15"/>
      <c r="V102" s="24">
        <f t="shared" si="11"/>
        <v>0</v>
      </c>
    </row>
    <row r="103" ht="15.75" customHeight="1">
      <c r="A103" s="23" t="str">
        <f t="shared" si="10"/>
        <v/>
      </c>
      <c r="B103" s="15"/>
      <c r="C103" s="15"/>
      <c r="D103" s="15"/>
      <c r="E103" s="15"/>
      <c r="F103" s="15"/>
      <c r="G103" s="15"/>
      <c r="H103" s="15"/>
      <c r="I103" s="15"/>
      <c r="J103" s="15"/>
      <c r="K103" s="15"/>
      <c r="L103" s="15"/>
      <c r="M103" s="15"/>
      <c r="N103" s="15"/>
      <c r="O103" s="15"/>
      <c r="P103" s="15"/>
      <c r="Q103" s="15"/>
      <c r="R103" s="15"/>
      <c r="S103" s="15"/>
      <c r="T103" s="15"/>
      <c r="U103" s="15"/>
      <c r="V103" s="24">
        <f t="shared" si="11"/>
        <v>0</v>
      </c>
    </row>
    <row r="104" ht="15.75" customHeight="1">
      <c r="A104" s="23" t="str">
        <f t="shared" si="10"/>
        <v/>
      </c>
      <c r="B104" s="15"/>
      <c r="C104" s="15"/>
      <c r="D104" s="15"/>
      <c r="E104" s="15"/>
      <c r="F104" s="15"/>
      <c r="G104" s="15"/>
      <c r="H104" s="15"/>
      <c r="I104" s="15"/>
      <c r="J104" s="15"/>
      <c r="K104" s="15"/>
      <c r="L104" s="15"/>
      <c r="M104" s="15"/>
      <c r="N104" s="15"/>
      <c r="O104" s="15"/>
      <c r="P104" s="15"/>
      <c r="Q104" s="15"/>
      <c r="R104" s="15"/>
      <c r="S104" s="15"/>
      <c r="T104" s="15"/>
      <c r="U104" s="15"/>
      <c r="V104" s="24">
        <f t="shared" si="11"/>
        <v>0</v>
      </c>
    </row>
    <row r="105" ht="15.75" customHeight="1">
      <c r="A105" s="23" t="str">
        <f t="shared" si="10"/>
        <v/>
      </c>
      <c r="B105" s="15"/>
      <c r="C105" s="15"/>
      <c r="D105" s="15"/>
      <c r="E105" s="15"/>
      <c r="F105" s="15"/>
      <c r="G105" s="15"/>
      <c r="H105" s="15"/>
      <c r="I105" s="15"/>
      <c r="J105" s="15"/>
      <c r="K105" s="15"/>
      <c r="L105" s="15"/>
      <c r="M105" s="15"/>
      <c r="N105" s="15"/>
      <c r="O105" s="15"/>
      <c r="P105" s="15"/>
      <c r="Q105" s="15"/>
      <c r="R105" s="15"/>
      <c r="S105" s="15"/>
      <c r="T105" s="15"/>
      <c r="U105" s="15"/>
      <c r="V105" s="24">
        <f t="shared" si="11"/>
        <v>0</v>
      </c>
    </row>
    <row r="106" ht="15.75" customHeight="1">
      <c r="A106" s="23" t="str">
        <f t="shared" si="10"/>
        <v/>
      </c>
      <c r="B106" s="15"/>
      <c r="C106" s="15"/>
      <c r="D106" s="15"/>
      <c r="E106" s="15"/>
      <c r="F106" s="15"/>
      <c r="G106" s="15"/>
      <c r="H106" s="15"/>
      <c r="I106" s="15"/>
      <c r="J106" s="15"/>
      <c r="K106" s="15"/>
      <c r="L106" s="15"/>
      <c r="M106" s="15"/>
      <c r="N106" s="15"/>
      <c r="O106" s="15"/>
      <c r="P106" s="15"/>
      <c r="Q106" s="15"/>
      <c r="R106" s="15"/>
      <c r="S106" s="15"/>
      <c r="T106" s="15"/>
      <c r="U106" s="15"/>
      <c r="V106" s="24">
        <f t="shared" si="11"/>
        <v>0</v>
      </c>
    </row>
    <row r="107" ht="15.75" customHeight="1">
      <c r="A107" s="23" t="str">
        <f t="shared" si="10"/>
        <v/>
      </c>
      <c r="B107" s="15"/>
      <c r="C107" s="15"/>
      <c r="D107" s="15"/>
      <c r="E107" s="15"/>
      <c r="F107" s="15"/>
      <c r="G107" s="15"/>
      <c r="H107" s="15"/>
      <c r="I107" s="15"/>
      <c r="J107" s="15"/>
      <c r="K107" s="15"/>
      <c r="L107" s="15"/>
      <c r="M107" s="15"/>
      <c r="N107" s="15"/>
      <c r="O107" s="15"/>
      <c r="P107" s="15"/>
      <c r="Q107" s="15"/>
      <c r="R107" s="15"/>
      <c r="S107" s="15"/>
      <c r="T107" s="15"/>
      <c r="U107" s="15"/>
      <c r="V107" s="24">
        <f t="shared" si="11"/>
        <v>0</v>
      </c>
    </row>
    <row r="108" ht="15.75" customHeight="1">
      <c r="A108" s="7" t="s">
        <v>144</v>
      </c>
      <c r="V108" s="24">
        <f>SUM(V80:V107)</f>
        <v>5</v>
      </c>
    </row>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6.0"/>
    <col customWidth="1" min="2" max="25" width="12.0"/>
    <col customWidth="1" min="26" max="26" width="8.71"/>
  </cols>
  <sheetData>
    <row r="1">
      <c r="A1" s="4" t="s">
        <v>182</v>
      </c>
      <c r="B1" s="5"/>
      <c r="C1" s="5"/>
      <c r="D1" s="5"/>
      <c r="E1" s="5"/>
      <c r="F1" s="5"/>
      <c r="G1" s="5"/>
      <c r="H1" s="5"/>
      <c r="I1" s="5"/>
      <c r="J1" s="5"/>
      <c r="K1" s="5"/>
      <c r="L1" s="5"/>
      <c r="M1" s="5"/>
      <c r="N1" s="5"/>
      <c r="O1" s="5"/>
      <c r="P1" s="5"/>
      <c r="Q1" s="5"/>
      <c r="R1" s="5"/>
      <c r="S1" s="5"/>
      <c r="T1" s="5"/>
      <c r="U1" s="5"/>
      <c r="V1" s="5"/>
      <c r="W1" s="5"/>
      <c r="X1" s="5"/>
      <c r="Y1" s="5"/>
    </row>
    <row r="2">
      <c r="A2" s="6" t="s">
        <v>40</v>
      </c>
      <c r="B2" s="6" t="s">
        <v>41</v>
      </c>
      <c r="C2" s="6" t="s">
        <v>42</v>
      </c>
      <c r="D2" s="6" t="s">
        <v>43</v>
      </c>
      <c r="E2" s="6" t="s">
        <v>44</v>
      </c>
      <c r="F2" s="6" t="s">
        <v>45</v>
      </c>
      <c r="G2" s="6" t="s">
        <v>46</v>
      </c>
      <c r="H2" s="6" t="s">
        <v>47</v>
      </c>
      <c r="I2" s="6" t="s">
        <v>48</v>
      </c>
      <c r="J2" s="6" t="s">
        <v>49</v>
      </c>
      <c r="K2" s="6" t="s">
        <v>50</v>
      </c>
      <c r="L2" s="6" t="s">
        <v>51</v>
      </c>
      <c r="M2" s="6" t="s">
        <v>52</v>
      </c>
      <c r="N2" s="6" t="s">
        <v>53</v>
      </c>
      <c r="O2" s="6" t="s">
        <v>54</v>
      </c>
      <c r="P2" s="6" t="s">
        <v>55</v>
      </c>
      <c r="Q2" s="6" t="s">
        <v>56</v>
      </c>
      <c r="R2" s="6" t="s">
        <v>57</v>
      </c>
      <c r="S2" s="6" t="s">
        <v>58</v>
      </c>
      <c r="T2" s="6" t="s">
        <v>59</v>
      </c>
      <c r="U2" s="6" t="s">
        <v>60</v>
      </c>
      <c r="X2" s="7" t="s">
        <v>61</v>
      </c>
    </row>
    <row r="3">
      <c r="A3" s="8" t="s">
        <v>62</v>
      </c>
      <c r="B3" s="9"/>
      <c r="C3" s="9"/>
      <c r="D3" s="9"/>
      <c r="E3" s="9"/>
      <c r="F3" s="9"/>
      <c r="G3" s="9"/>
      <c r="H3" s="9"/>
      <c r="I3" s="9"/>
      <c r="J3" s="9"/>
      <c r="K3" s="9"/>
      <c r="L3" s="9"/>
      <c r="M3" s="9"/>
      <c r="N3" s="9"/>
      <c r="O3" s="9"/>
      <c r="P3" s="9"/>
      <c r="Q3" s="9"/>
      <c r="R3" s="9"/>
      <c r="S3" s="9"/>
      <c r="T3" s="9"/>
      <c r="U3" s="9"/>
      <c r="X3" s="7" t="s">
        <v>63</v>
      </c>
      <c r="Y3" s="10">
        <f>Y4+Y5+Y6</f>
        <v>0</v>
      </c>
    </row>
    <row r="4">
      <c r="A4" s="8" t="s">
        <v>64</v>
      </c>
      <c r="B4" s="11"/>
      <c r="C4" s="11"/>
      <c r="D4" s="11"/>
      <c r="E4" s="11"/>
      <c r="F4" s="11"/>
      <c r="G4" s="11"/>
      <c r="H4" s="11"/>
      <c r="I4" s="11"/>
      <c r="J4" s="11"/>
      <c r="K4" s="11"/>
      <c r="L4" s="11"/>
      <c r="M4" s="11"/>
      <c r="N4" s="11"/>
      <c r="O4" s="11"/>
      <c r="P4" s="11"/>
      <c r="Q4" s="11"/>
      <c r="R4" s="11"/>
      <c r="S4" s="11"/>
      <c r="T4" s="11"/>
      <c r="U4" s="11"/>
      <c r="X4" s="7" t="s">
        <v>65</v>
      </c>
      <c r="Y4" s="10">
        <f>SUMPRODUCT(($B$9:$U$9="W")*($B$16:$U$16=""))</f>
        <v>0</v>
      </c>
    </row>
    <row r="5" ht="27.75" customHeight="1">
      <c r="A5" s="8" t="s">
        <v>66</v>
      </c>
      <c r="B5" s="12"/>
      <c r="C5" s="12"/>
      <c r="D5" s="12"/>
      <c r="E5" s="12"/>
      <c r="F5" s="12"/>
      <c r="G5" s="12"/>
      <c r="H5" s="12"/>
      <c r="I5" s="12"/>
      <c r="J5" s="12"/>
      <c r="K5" s="12"/>
      <c r="L5" s="12"/>
      <c r="M5" s="12"/>
      <c r="N5" s="12"/>
      <c r="O5" s="12"/>
      <c r="P5" s="12"/>
      <c r="Q5" s="12"/>
      <c r="R5" s="12"/>
      <c r="S5" s="12"/>
      <c r="T5" s="12"/>
      <c r="U5" s="12"/>
      <c r="X5" s="7" t="s">
        <v>75</v>
      </c>
      <c r="Y5" s="10">
        <f>SUMPRODUCT(($B$9:$U$9="D")*($B$16:$U$16=""))</f>
        <v>0</v>
      </c>
    </row>
    <row r="6">
      <c r="A6" s="8" t="s">
        <v>79</v>
      </c>
      <c r="B6" s="13"/>
      <c r="C6" s="13"/>
      <c r="D6" s="13"/>
      <c r="E6" s="13"/>
      <c r="F6" s="13"/>
      <c r="G6" s="13"/>
      <c r="H6" s="13"/>
      <c r="I6" s="13"/>
      <c r="J6" s="13"/>
      <c r="K6" s="13"/>
      <c r="L6" s="13"/>
      <c r="M6" s="13"/>
      <c r="N6" s="13"/>
      <c r="O6" s="13"/>
      <c r="P6" s="13"/>
      <c r="Q6" s="13"/>
      <c r="R6" s="13"/>
      <c r="S6" s="13"/>
      <c r="T6" s="13"/>
      <c r="U6" s="13"/>
      <c r="X6" s="7" t="s">
        <v>80</v>
      </c>
      <c r="Y6" s="10">
        <f>SUMPRODUCT(($B$9:$U$9="L")*($B$16:$U$16=""))</f>
        <v>0</v>
      </c>
    </row>
    <row r="7">
      <c r="A7" s="8" t="s">
        <v>81</v>
      </c>
      <c r="B7" s="13"/>
      <c r="C7" s="13"/>
      <c r="D7" s="13"/>
      <c r="E7" s="13"/>
      <c r="F7" s="13"/>
      <c r="G7" s="13"/>
      <c r="H7" s="13"/>
      <c r="I7" s="13"/>
      <c r="J7" s="13"/>
      <c r="K7" s="13"/>
      <c r="L7" s="13"/>
      <c r="M7" s="13"/>
      <c r="N7" s="13"/>
      <c r="O7" s="13"/>
      <c r="P7" s="13"/>
      <c r="Q7" s="13"/>
      <c r="R7" s="13"/>
      <c r="S7" s="13"/>
      <c r="T7" s="13"/>
      <c r="U7" s="13"/>
      <c r="X7" s="7" t="s">
        <v>82</v>
      </c>
      <c r="Y7" s="10">
        <f>SUMPRODUCT($B$6:$U$6*($B$16:$U$16=""))</f>
        <v>0</v>
      </c>
    </row>
    <row r="8">
      <c r="A8" s="8" t="s">
        <v>83</v>
      </c>
      <c r="B8" s="14" t="str">
        <f t="shared" ref="B8:U8" si="1">IF(COUNT(B6:B7)&lt;2,"",B6&amp;"-"&amp;B7)</f>
        <v/>
      </c>
      <c r="C8" s="14" t="str">
        <f t="shared" si="1"/>
        <v/>
      </c>
      <c r="D8" s="14" t="str">
        <f t="shared" si="1"/>
        <v/>
      </c>
      <c r="E8" s="14" t="str">
        <f t="shared" si="1"/>
        <v/>
      </c>
      <c r="F8" s="14" t="str">
        <f t="shared" si="1"/>
        <v/>
      </c>
      <c r="G8" s="14" t="str">
        <f t="shared" si="1"/>
        <v/>
      </c>
      <c r="H8" s="14" t="str">
        <f t="shared" si="1"/>
        <v/>
      </c>
      <c r="I8" s="14" t="str">
        <f t="shared" si="1"/>
        <v/>
      </c>
      <c r="J8" s="14" t="str">
        <f t="shared" si="1"/>
        <v/>
      </c>
      <c r="K8" s="14" t="str">
        <f t="shared" si="1"/>
        <v/>
      </c>
      <c r="L8" s="14" t="str">
        <f t="shared" si="1"/>
        <v/>
      </c>
      <c r="M8" s="14" t="str">
        <f t="shared" si="1"/>
        <v/>
      </c>
      <c r="N8" s="14" t="str">
        <f t="shared" si="1"/>
        <v/>
      </c>
      <c r="O8" s="14" t="str">
        <f t="shared" si="1"/>
        <v/>
      </c>
      <c r="P8" s="14" t="str">
        <f t="shared" si="1"/>
        <v/>
      </c>
      <c r="Q8" s="14" t="str">
        <f t="shared" si="1"/>
        <v/>
      </c>
      <c r="R8" s="14" t="str">
        <f t="shared" si="1"/>
        <v/>
      </c>
      <c r="S8" s="14" t="str">
        <f t="shared" si="1"/>
        <v/>
      </c>
      <c r="T8" s="14" t="str">
        <f t="shared" si="1"/>
        <v/>
      </c>
      <c r="U8" s="14" t="str">
        <f t="shared" si="1"/>
        <v/>
      </c>
      <c r="X8" s="7" t="s">
        <v>94</v>
      </c>
      <c r="Y8" s="10">
        <f>SUMPRODUCT($B$7:$U$7*($B$16:$U$16=""))</f>
        <v>0</v>
      </c>
    </row>
    <row r="9">
      <c r="A9" s="8" t="s">
        <v>95</v>
      </c>
      <c r="B9" s="14" t="str">
        <f t="shared" ref="B9:U9" si="2">IF(COUNT(B6:B7)&lt;2,"",IF(B6&gt;B7,"W",IF(B6&lt;B7,"L","D")))</f>
        <v/>
      </c>
      <c r="C9" s="14" t="str">
        <f t="shared" si="2"/>
        <v/>
      </c>
      <c r="D9" s="14" t="str">
        <f t="shared" si="2"/>
        <v/>
      </c>
      <c r="E9" s="14" t="str">
        <f t="shared" si="2"/>
        <v/>
      </c>
      <c r="F9" s="14" t="str">
        <f t="shared" si="2"/>
        <v/>
      </c>
      <c r="G9" s="14" t="str">
        <f t="shared" si="2"/>
        <v/>
      </c>
      <c r="H9" s="14" t="str">
        <f t="shared" si="2"/>
        <v/>
      </c>
      <c r="I9" s="14" t="str">
        <f t="shared" si="2"/>
        <v/>
      </c>
      <c r="J9" s="14" t="str">
        <f t="shared" si="2"/>
        <v/>
      </c>
      <c r="K9" s="14" t="str">
        <f t="shared" si="2"/>
        <v/>
      </c>
      <c r="L9" s="14" t="str">
        <f t="shared" si="2"/>
        <v/>
      </c>
      <c r="M9" s="14" t="str">
        <f t="shared" si="2"/>
        <v/>
      </c>
      <c r="N9" s="14" t="str">
        <f t="shared" si="2"/>
        <v/>
      </c>
      <c r="O9" s="14" t="str">
        <f t="shared" si="2"/>
        <v/>
      </c>
      <c r="P9" s="14" t="str">
        <f t="shared" si="2"/>
        <v/>
      </c>
      <c r="Q9" s="14" t="str">
        <f t="shared" si="2"/>
        <v/>
      </c>
      <c r="R9" s="14" t="str">
        <f t="shared" si="2"/>
        <v/>
      </c>
      <c r="S9" s="14" t="str">
        <f t="shared" si="2"/>
        <v/>
      </c>
      <c r="T9" s="14" t="str">
        <f t="shared" si="2"/>
        <v/>
      </c>
      <c r="U9" s="14" t="str">
        <f t="shared" si="2"/>
        <v/>
      </c>
      <c r="X9" s="7" t="s">
        <v>96</v>
      </c>
      <c r="Y9" s="10" t="str">
        <f t="array" ref="Y9">IF(MAX($V$49:$V$76)=0,"—",INDEX($A$49:$A$76,MATCH(MAX($V$49:$V$76),$V$49:$V$76,0))&amp;" ("&amp;MAX($V$49:$V$76)&amp;")")</f>
        <v>—</v>
      </c>
    </row>
    <row r="10">
      <c r="A10" s="8" t="s">
        <v>97</v>
      </c>
      <c r="B10" s="15"/>
      <c r="C10" s="15"/>
      <c r="D10" s="15"/>
      <c r="E10" s="15"/>
      <c r="F10" s="15"/>
      <c r="G10" s="15"/>
      <c r="H10" s="15"/>
      <c r="I10" s="15"/>
      <c r="J10" s="15"/>
      <c r="K10" s="15"/>
      <c r="L10" s="15"/>
      <c r="M10" s="15"/>
      <c r="N10" s="15"/>
      <c r="O10" s="15"/>
      <c r="P10" s="15"/>
      <c r="Q10" s="15"/>
      <c r="R10" s="15"/>
      <c r="S10" s="15"/>
      <c r="T10" s="15"/>
      <c r="U10" s="15"/>
      <c r="X10" s="7" t="s">
        <v>106</v>
      </c>
      <c r="Y10" s="10" t="str">
        <f t="array" ref="Y10">IF(MAX($V$18:$V$45)=0,"—",INDEX($A$18:$A$45,MATCH(MAX($V$18:$V$45),$V$18:$V$45,0))&amp;" ("&amp;MAX($V$18:$V$45)&amp;")")</f>
        <v>—</v>
      </c>
    </row>
    <row r="11">
      <c r="A11" s="8" t="s">
        <v>107</v>
      </c>
      <c r="B11" s="15"/>
      <c r="C11" s="15"/>
      <c r="D11" s="15"/>
      <c r="E11" s="15"/>
      <c r="F11" s="15"/>
      <c r="G11" s="15"/>
      <c r="H11" s="15"/>
      <c r="I11" s="15"/>
      <c r="J11" s="15"/>
      <c r="K11" s="15"/>
      <c r="L11" s="15"/>
      <c r="M11" s="15"/>
      <c r="N11" s="15"/>
      <c r="O11" s="15"/>
      <c r="P11" s="15"/>
      <c r="Q11" s="15"/>
      <c r="R11" s="15"/>
      <c r="S11" s="15"/>
      <c r="T11" s="15"/>
      <c r="U11" s="15"/>
      <c r="X11" s="7" t="s">
        <v>108</v>
      </c>
      <c r="Y11" s="16">
        <f>SUM($B$13:$U$13)</f>
        <v>0</v>
      </c>
    </row>
    <row r="12" ht="25.5" customHeight="1">
      <c r="A12" s="8" t="s">
        <v>112</v>
      </c>
      <c r="B12" s="17"/>
      <c r="C12" s="17"/>
      <c r="D12" s="17"/>
      <c r="E12" s="17"/>
      <c r="F12" s="17"/>
      <c r="G12" s="17"/>
      <c r="H12" s="17"/>
      <c r="I12" s="17"/>
      <c r="J12" s="17"/>
      <c r="K12" s="17"/>
      <c r="L12" s="17"/>
      <c r="M12" s="17"/>
      <c r="N12" s="17"/>
      <c r="O12" s="17"/>
      <c r="P12" s="17"/>
      <c r="Q12" s="17"/>
      <c r="R12" s="17"/>
      <c r="S12" s="17"/>
      <c r="T12" s="17"/>
      <c r="U12" s="17"/>
      <c r="X12" s="7" t="s">
        <v>119</v>
      </c>
      <c r="Y12" s="18"/>
    </row>
    <row r="13">
      <c r="A13" s="8" t="s">
        <v>123</v>
      </c>
      <c r="B13" s="19"/>
      <c r="C13" s="19"/>
      <c r="D13" s="19"/>
      <c r="E13" s="19"/>
      <c r="F13" s="19"/>
      <c r="G13" s="19"/>
      <c r="H13" s="19"/>
      <c r="I13" s="19"/>
      <c r="J13" s="19"/>
      <c r="K13" s="19"/>
      <c r="L13" s="19"/>
      <c r="M13" s="19"/>
      <c r="N13" s="19"/>
      <c r="O13" s="19"/>
      <c r="P13" s="19"/>
      <c r="Q13" s="19"/>
      <c r="R13" s="19"/>
      <c r="S13" s="19"/>
      <c r="T13" s="19"/>
      <c r="U13" s="19"/>
    </row>
    <row r="14">
      <c r="A14" s="8" t="s">
        <v>126</v>
      </c>
      <c r="B14" s="14">
        <f t="shared" ref="B14:U14" si="3">COUNT(B$18:B$45)</f>
        <v>0</v>
      </c>
      <c r="C14" s="14">
        <f t="shared" si="3"/>
        <v>0</v>
      </c>
      <c r="D14" s="14">
        <f t="shared" si="3"/>
        <v>0</v>
      </c>
      <c r="E14" s="14">
        <f t="shared" si="3"/>
        <v>0</v>
      </c>
      <c r="F14" s="14">
        <f t="shared" si="3"/>
        <v>0</v>
      </c>
      <c r="G14" s="14">
        <f t="shared" si="3"/>
        <v>0</v>
      </c>
      <c r="H14" s="14">
        <f t="shared" si="3"/>
        <v>0</v>
      </c>
      <c r="I14" s="14">
        <f t="shared" si="3"/>
        <v>0</v>
      </c>
      <c r="J14" s="14">
        <f t="shared" si="3"/>
        <v>0</v>
      </c>
      <c r="K14" s="14">
        <f t="shared" si="3"/>
        <v>0</v>
      </c>
      <c r="L14" s="14">
        <f t="shared" si="3"/>
        <v>0</v>
      </c>
      <c r="M14" s="14">
        <f t="shared" si="3"/>
        <v>0</v>
      </c>
      <c r="N14" s="14">
        <f t="shared" si="3"/>
        <v>0</v>
      </c>
      <c r="O14" s="14">
        <f t="shared" si="3"/>
        <v>0</v>
      </c>
      <c r="P14" s="14">
        <f t="shared" si="3"/>
        <v>0</v>
      </c>
      <c r="Q14" s="14">
        <f t="shared" si="3"/>
        <v>0</v>
      </c>
      <c r="R14" s="14">
        <f t="shared" si="3"/>
        <v>0</v>
      </c>
      <c r="S14" s="14">
        <f t="shared" si="3"/>
        <v>0</v>
      </c>
      <c r="T14" s="14">
        <f t="shared" si="3"/>
        <v>0</v>
      </c>
      <c r="U14" s="14">
        <f t="shared" si="3"/>
        <v>0</v>
      </c>
    </row>
    <row r="15">
      <c r="A15" s="8" t="s">
        <v>127</v>
      </c>
      <c r="B15" s="20">
        <f t="shared" ref="B15:U15" si="4">IF(B$14=0,0,N(B$13)/B$14)</f>
        <v>0</v>
      </c>
      <c r="C15" s="20">
        <f t="shared" si="4"/>
        <v>0</v>
      </c>
      <c r="D15" s="20">
        <f t="shared" si="4"/>
        <v>0</v>
      </c>
      <c r="E15" s="20">
        <f t="shared" si="4"/>
        <v>0</v>
      </c>
      <c r="F15" s="20">
        <f t="shared" si="4"/>
        <v>0</v>
      </c>
      <c r="G15" s="20">
        <f t="shared" si="4"/>
        <v>0</v>
      </c>
      <c r="H15" s="20">
        <f t="shared" si="4"/>
        <v>0</v>
      </c>
      <c r="I15" s="20">
        <f t="shared" si="4"/>
        <v>0</v>
      </c>
      <c r="J15" s="20">
        <f t="shared" si="4"/>
        <v>0</v>
      </c>
      <c r="K15" s="20">
        <f t="shared" si="4"/>
        <v>0</v>
      </c>
      <c r="L15" s="20">
        <f t="shared" si="4"/>
        <v>0</v>
      </c>
      <c r="M15" s="20">
        <f t="shared" si="4"/>
        <v>0</v>
      </c>
      <c r="N15" s="20">
        <f t="shared" si="4"/>
        <v>0</v>
      </c>
      <c r="O15" s="20">
        <f t="shared" si="4"/>
        <v>0</v>
      </c>
      <c r="P15" s="20">
        <f t="shared" si="4"/>
        <v>0</v>
      </c>
      <c r="Q15" s="20">
        <f t="shared" si="4"/>
        <v>0</v>
      </c>
      <c r="R15" s="20">
        <f t="shared" si="4"/>
        <v>0</v>
      </c>
      <c r="S15" s="20">
        <f t="shared" si="4"/>
        <v>0</v>
      </c>
      <c r="T15" s="20">
        <f t="shared" si="4"/>
        <v>0</v>
      </c>
      <c r="U15" s="20">
        <f t="shared" si="4"/>
        <v>0</v>
      </c>
    </row>
    <row r="16">
      <c r="A16" s="8" t="s">
        <v>128</v>
      </c>
      <c r="B16" s="13"/>
      <c r="C16" s="13"/>
      <c r="D16" s="13"/>
      <c r="E16" s="13"/>
      <c r="F16" s="13"/>
      <c r="G16" s="13"/>
      <c r="H16" s="13"/>
      <c r="I16" s="13"/>
      <c r="J16" s="13"/>
      <c r="K16" s="13"/>
      <c r="L16" s="13"/>
      <c r="M16" s="13"/>
      <c r="N16" s="13"/>
      <c r="O16" s="13"/>
      <c r="P16" s="13"/>
      <c r="Q16" s="13"/>
      <c r="R16" s="13"/>
      <c r="S16" s="13"/>
      <c r="T16" s="13"/>
      <c r="U16" s="13"/>
    </row>
    <row r="17">
      <c r="A17" s="21" t="s">
        <v>129</v>
      </c>
      <c r="B17" s="22" t="s">
        <v>41</v>
      </c>
      <c r="C17" s="22" t="s">
        <v>42</v>
      </c>
      <c r="D17" s="22" t="s">
        <v>43</v>
      </c>
      <c r="E17" s="22" t="s">
        <v>44</v>
      </c>
      <c r="F17" s="22" t="s">
        <v>45</v>
      </c>
      <c r="G17" s="22" t="s">
        <v>46</v>
      </c>
      <c r="H17" s="22" t="s">
        <v>47</v>
      </c>
      <c r="I17" s="22" t="s">
        <v>48</v>
      </c>
      <c r="J17" s="22" t="s">
        <v>49</v>
      </c>
      <c r="K17" s="22" t="s">
        <v>50</v>
      </c>
      <c r="L17" s="22" t="s">
        <v>51</v>
      </c>
      <c r="M17" s="22" t="s">
        <v>52</v>
      </c>
      <c r="N17" s="22" t="s">
        <v>53</v>
      </c>
      <c r="O17" s="22" t="s">
        <v>54</v>
      </c>
      <c r="P17" s="22" t="s">
        <v>55</v>
      </c>
      <c r="Q17" s="22" t="s">
        <v>56</v>
      </c>
      <c r="R17" s="22" t="s">
        <v>57</v>
      </c>
      <c r="S17" s="22" t="s">
        <v>58</v>
      </c>
      <c r="T17" s="22" t="s">
        <v>59</v>
      </c>
      <c r="U17" s="22" t="s">
        <v>60</v>
      </c>
      <c r="V17" s="22" t="s">
        <v>130</v>
      </c>
      <c r="W17" s="22" t="s">
        <v>131</v>
      </c>
    </row>
    <row r="18">
      <c r="A18" s="23" t="s">
        <v>132</v>
      </c>
      <c r="B18" s="15"/>
      <c r="C18" s="15"/>
      <c r="D18" s="15"/>
      <c r="E18" s="15"/>
      <c r="F18" s="15"/>
      <c r="G18" s="15"/>
      <c r="H18" s="15"/>
      <c r="I18" s="15"/>
      <c r="J18" s="15"/>
      <c r="K18" s="15"/>
      <c r="L18" s="15"/>
      <c r="M18" s="15"/>
      <c r="N18" s="15"/>
      <c r="O18" s="15"/>
      <c r="P18" s="15"/>
      <c r="Q18" s="15"/>
      <c r="R18" s="15"/>
      <c r="S18" s="15"/>
      <c r="T18" s="15"/>
      <c r="U18" s="15"/>
      <c r="V18" s="24">
        <f t="shared" ref="V18:V45" si="5">SUMPRODUCT(B18:U18*($B$16:$U$16=""))</f>
        <v>0</v>
      </c>
      <c r="W18" s="20">
        <f t="shared" ref="W18:W45" si="6">SUMPRODUCT($B18:$U18,$B$15:$U$15)</f>
        <v>0</v>
      </c>
    </row>
    <row r="19">
      <c r="A19" s="23" t="s">
        <v>133</v>
      </c>
      <c r="B19" s="15"/>
      <c r="C19" s="15"/>
      <c r="D19" s="15"/>
      <c r="E19" s="15"/>
      <c r="F19" s="15"/>
      <c r="G19" s="15"/>
      <c r="H19" s="15"/>
      <c r="I19" s="15"/>
      <c r="J19" s="15"/>
      <c r="K19" s="15"/>
      <c r="L19" s="15"/>
      <c r="M19" s="15"/>
      <c r="N19" s="15"/>
      <c r="O19" s="15"/>
      <c r="P19" s="15"/>
      <c r="Q19" s="15"/>
      <c r="R19" s="15"/>
      <c r="S19" s="15"/>
      <c r="T19" s="15"/>
      <c r="U19" s="15"/>
      <c r="V19" s="24">
        <f t="shared" si="5"/>
        <v>0</v>
      </c>
      <c r="W19" s="20">
        <f t="shared" si="6"/>
        <v>0</v>
      </c>
    </row>
    <row r="20">
      <c r="A20" s="23" t="s">
        <v>103</v>
      </c>
      <c r="B20" s="15"/>
      <c r="C20" s="15"/>
      <c r="D20" s="15"/>
      <c r="E20" s="15"/>
      <c r="F20" s="15"/>
      <c r="G20" s="15"/>
      <c r="H20" s="15"/>
      <c r="I20" s="15"/>
      <c r="J20" s="15"/>
      <c r="K20" s="15"/>
      <c r="L20" s="15"/>
      <c r="M20" s="15"/>
      <c r="N20" s="15"/>
      <c r="O20" s="15"/>
      <c r="P20" s="15"/>
      <c r="Q20" s="15"/>
      <c r="R20" s="15"/>
      <c r="S20" s="15"/>
      <c r="T20" s="15"/>
      <c r="U20" s="15"/>
      <c r="V20" s="24">
        <f t="shared" si="5"/>
        <v>0</v>
      </c>
      <c r="W20" s="20">
        <f t="shared" si="6"/>
        <v>0</v>
      </c>
    </row>
    <row r="21" ht="15.75" customHeight="1">
      <c r="A21" s="23" t="s">
        <v>110</v>
      </c>
      <c r="B21" s="15"/>
      <c r="C21" s="15"/>
      <c r="D21" s="15"/>
      <c r="E21" s="15"/>
      <c r="F21" s="15"/>
      <c r="G21" s="15"/>
      <c r="H21" s="15"/>
      <c r="I21" s="15"/>
      <c r="J21" s="15"/>
      <c r="K21" s="15"/>
      <c r="L21" s="15"/>
      <c r="M21" s="15"/>
      <c r="N21" s="15"/>
      <c r="O21" s="15"/>
      <c r="P21" s="15"/>
      <c r="Q21" s="15"/>
      <c r="R21" s="15"/>
      <c r="S21" s="15"/>
      <c r="T21" s="15"/>
      <c r="U21" s="15"/>
      <c r="V21" s="24">
        <f t="shared" si="5"/>
        <v>0</v>
      </c>
      <c r="W21" s="20">
        <f t="shared" si="6"/>
        <v>0</v>
      </c>
    </row>
    <row r="22" ht="15.75" customHeight="1">
      <c r="A22" s="23" t="s">
        <v>100</v>
      </c>
      <c r="B22" s="15"/>
      <c r="C22" s="15"/>
      <c r="D22" s="15"/>
      <c r="E22" s="15"/>
      <c r="F22" s="15"/>
      <c r="G22" s="15"/>
      <c r="H22" s="15"/>
      <c r="I22" s="15"/>
      <c r="J22" s="15"/>
      <c r="K22" s="15"/>
      <c r="L22" s="15"/>
      <c r="M22" s="15"/>
      <c r="N22" s="15"/>
      <c r="O22" s="15"/>
      <c r="P22" s="15"/>
      <c r="Q22" s="15"/>
      <c r="R22" s="15"/>
      <c r="S22" s="15"/>
      <c r="T22" s="15"/>
      <c r="U22" s="15"/>
      <c r="V22" s="24">
        <f t="shared" si="5"/>
        <v>0</v>
      </c>
      <c r="W22" s="20">
        <f t="shared" si="6"/>
        <v>0</v>
      </c>
    </row>
    <row r="23" ht="15.75" customHeight="1">
      <c r="A23" s="23" t="s">
        <v>134</v>
      </c>
      <c r="B23" s="15"/>
      <c r="C23" s="15"/>
      <c r="D23" s="15"/>
      <c r="E23" s="15"/>
      <c r="F23" s="15"/>
      <c r="G23" s="15"/>
      <c r="H23" s="15"/>
      <c r="I23" s="15"/>
      <c r="J23" s="15"/>
      <c r="K23" s="15"/>
      <c r="L23" s="15"/>
      <c r="M23" s="15"/>
      <c r="N23" s="15"/>
      <c r="O23" s="15"/>
      <c r="P23" s="15"/>
      <c r="Q23" s="15"/>
      <c r="R23" s="15"/>
      <c r="S23" s="15"/>
      <c r="T23" s="15"/>
      <c r="U23" s="15"/>
      <c r="V23" s="24">
        <f t="shared" si="5"/>
        <v>0</v>
      </c>
      <c r="W23" s="20">
        <f t="shared" si="6"/>
        <v>0</v>
      </c>
    </row>
    <row r="24" ht="15.75" customHeight="1">
      <c r="A24" s="23" t="s">
        <v>135</v>
      </c>
      <c r="B24" s="15"/>
      <c r="C24" s="15"/>
      <c r="D24" s="15"/>
      <c r="E24" s="15"/>
      <c r="F24" s="15"/>
      <c r="G24" s="15"/>
      <c r="H24" s="15"/>
      <c r="I24" s="15"/>
      <c r="J24" s="15"/>
      <c r="K24" s="15"/>
      <c r="L24" s="15"/>
      <c r="M24" s="15"/>
      <c r="N24" s="15"/>
      <c r="O24" s="15"/>
      <c r="P24" s="15"/>
      <c r="Q24" s="15"/>
      <c r="R24" s="15"/>
      <c r="S24" s="15"/>
      <c r="T24" s="15"/>
      <c r="U24" s="15"/>
      <c r="V24" s="24">
        <f t="shared" si="5"/>
        <v>0</v>
      </c>
      <c r="W24" s="20">
        <f t="shared" si="6"/>
        <v>0</v>
      </c>
    </row>
    <row r="25" ht="15.75" customHeight="1">
      <c r="A25" s="23" t="s">
        <v>136</v>
      </c>
      <c r="B25" s="15"/>
      <c r="C25" s="15"/>
      <c r="D25" s="15"/>
      <c r="E25" s="15"/>
      <c r="F25" s="15"/>
      <c r="G25" s="15"/>
      <c r="H25" s="15"/>
      <c r="I25" s="15"/>
      <c r="J25" s="15"/>
      <c r="K25" s="15"/>
      <c r="L25" s="15"/>
      <c r="M25" s="15"/>
      <c r="N25" s="15"/>
      <c r="O25" s="15"/>
      <c r="P25" s="15"/>
      <c r="Q25" s="15"/>
      <c r="R25" s="15"/>
      <c r="S25" s="15"/>
      <c r="T25" s="15"/>
      <c r="U25" s="15"/>
      <c r="V25" s="24">
        <f t="shared" si="5"/>
        <v>0</v>
      </c>
      <c r="W25" s="20">
        <f t="shared" si="6"/>
        <v>0</v>
      </c>
    </row>
    <row r="26" ht="15.75" customHeight="1">
      <c r="A26" s="23" t="s">
        <v>104</v>
      </c>
      <c r="B26" s="15"/>
      <c r="C26" s="15"/>
      <c r="D26" s="15"/>
      <c r="E26" s="15"/>
      <c r="F26" s="15"/>
      <c r="G26" s="15"/>
      <c r="H26" s="15"/>
      <c r="I26" s="15"/>
      <c r="J26" s="15"/>
      <c r="K26" s="15"/>
      <c r="L26" s="15"/>
      <c r="M26" s="15"/>
      <c r="N26" s="15"/>
      <c r="O26" s="15"/>
      <c r="P26" s="15"/>
      <c r="Q26" s="15"/>
      <c r="R26" s="15"/>
      <c r="S26" s="15"/>
      <c r="T26" s="15"/>
      <c r="U26" s="15"/>
      <c r="V26" s="24">
        <f t="shared" si="5"/>
        <v>0</v>
      </c>
      <c r="W26" s="20">
        <f t="shared" si="6"/>
        <v>0</v>
      </c>
    </row>
    <row r="27" ht="15.75" customHeight="1">
      <c r="A27" s="23" t="s">
        <v>137</v>
      </c>
      <c r="B27" s="15"/>
      <c r="C27" s="15"/>
      <c r="D27" s="15"/>
      <c r="E27" s="15"/>
      <c r="F27" s="15"/>
      <c r="G27" s="15"/>
      <c r="H27" s="15"/>
      <c r="I27" s="15"/>
      <c r="J27" s="15"/>
      <c r="K27" s="15"/>
      <c r="L27" s="15"/>
      <c r="M27" s="15"/>
      <c r="N27" s="15"/>
      <c r="O27" s="15"/>
      <c r="P27" s="15"/>
      <c r="Q27" s="15"/>
      <c r="R27" s="15"/>
      <c r="S27" s="15"/>
      <c r="T27" s="15"/>
      <c r="U27" s="15"/>
      <c r="V27" s="24">
        <f t="shared" si="5"/>
        <v>0</v>
      </c>
      <c r="W27" s="20">
        <f t="shared" si="6"/>
        <v>0</v>
      </c>
    </row>
    <row r="28" ht="15.75" customHeight="1">
      <c r="A28" s="23" t="s">
        <v>101</v>
      </c>
      <c r="B28" s="15"/>
      <c r="C28" s="15"/>
      <c r="D28" s="15"/>
      <c r="E28" s="15"/>
      <c r="F28" s="15"/>
      <c r="G28" s="15"/>
      <c r="H28" s="15"/>
      <c r="I28" s="15"/>
      <c r="J28" s="15"/>
      <c r="K28" s="15"/>
      <c r="L28" s="15"/>
      <c r="M28" s="15"/>
      <c r="N28" s="15"/>
      <c r="O28" s="15"/>
      <c r="P28" s="15"/>
      <c r="Q28" s="15"/>
      <c r="R28" s="15"/>
      <c r="S28" s="15"/>
      <c r="T28" s="15"/>
      <c r="U28" s="15"/>
      <c r="V28" s="24">
        <f t="shared" si="5"/>
        <v>0</v>
      </c>
      <c r="W28" s="20">
        <f t="shared" si="6"/>
        <v>0</v>
      </c>
    </row>
    <row r="29" ht="15.75" customHeight="1">
      <c r="A29" s="23" t="s">
        <v>98</v>
      </c>
      <c r="B29" s="15"/>
      <c r="C29" s="15"/>
      <c r="D29" s="15"/>
      <c r="E29" s="15"/>
      <c r="F29" s="15"/>
      <c r="G29" s="15"/>
      <c r="H29" s="15"/>
      <c r="I29" s="15"/>
      <c r="J29" s="15"/>
      <c r="K29" s="15"/>
      <c r="L29" s="15"/>
      <c r="M29" s="15"/>
      <c r="N29" s="15"/>
      <c r="O29" s="15"/>
      <c r="P29" s="15"/>
      <c r="Q29" s="15"/>
      <c r="R29" s="15"/>
      <c r="S29" s="15"/>
      <c r="T29" s="15"/>
      <c r="U29" s="15"/>
      <c r="V29" s="24">
        <f t="shared" si="5"/>
        <v>0</v>
      </c>
      <c r="W29" s="20">
        <f t="shared" si="6"/>
        <v>0</v>
      </c>
    </row>
    <row r="30" ht="15.75" customHeight="1">
      <c r="A30" s="23" t="s">
        <v>138</v>
      </c>
      <c r="B30" s="15"/>
      <c r="C30" s="15"/>
      <c r="D30" s="15"/>
      <c r="E30" s="15"/>
      <c r="F30" s="15"/>
      <c r="G30" s="15"/>
      <c r="H30" s="15"/>
      <c r="I30" s="15"/>
      <c r="J30" s="15"/>
      <c r="K30" s="15"/>
      <c r="L30" s="15"/>
      <c r="M30" s="15"/>
      <c r="N30" s="15"/>
      <c r="O30" s="15"/>
      <c r="P30" s="15"/>
      <c r="Q30" s="15"/>
      <c r="R30" s="15"/>
      <c r="S30" s="15"/>
      <c r="T30" s="15"/>
      <c r="U30" s="15"/>
      <c r="V30" s="24">
        <f t="shared" si="5"/>
        <v>0</v>
      </c>
      <c r="W30" s="20">
        <f t="shared" si="6"/>
        <v>0</v>
      </c>
    </row>
    <row r="31" ht="15.75" customHeight="1">
      <c r="A31" s="23" t="s">
        <v>139</v>
      </c>
      <c r="B31" s="15"/>
      <c r="C31" s="15"/>
      <c r="D31" s="15"/>
      <c r="E31" s="15"/>
      <c r="F31" s="15"/>
      <c r="G31" s="15"/>
      <c r="H31" s="15"/>
      <c r="I31" s="15"/>
      <c r="J31" s="15"/>
      <c r="K31" s="15"/>
      <c r="L31" s="15"/>
      <c r="M31" s="15"/>
      <c r="N31" s="15"/>
      <c r="O31" s="15"/>
      <c r="P31" s="15"/>
      <c r="Q31" s="15"/>
      <c r="R31" s="15"/>
      <c r="S31" s="15"/>
      <c r="T31" s="15"/>
      <c r="U31" s="15"/>
      <c r="V31" s="24">
        <f t="shared" si="5"/>
        <v>0</v>
      </c>
      <c r="W31" s="20">
        <f t="shared" si="6"/>
        <v>0</v>
      </c>
    </row>
    <row r="32" ht="15.75" customHeight="1">
      <c r="A32" s="23" t="s">
        <v>140</v>
      </c>
      <c r="B32" s="15"/>
      <c r="C32" s="15"/>
      <c r="D32" s="15"/>
      <c r="E32" s="15"/>
      <c r="F32" s="15"/>
      <c r="G32" s="15"/>
      <c r="H32" s="15"/>
      <c r="I32" s="15"/>
      <c r="J32" s="15"/>
      <c r="K32" s="15"/>
      <c r="L32" s="15"/>
      <c r="M32" s="15"/>
      <c r="N32" s="15"/>
      <c r="O32" s="15"/>
      <c r="P32" s="15"/>
      <c r="Q32" s="15"/>
      <c r="R32" s="15"/>
      <c r="S32" s="15"/>
      <c r="T32" s="15"/>
      <c r="U32" s="15"/>
      <c r="V32" s="24">
        <f t="shared" si="5"/>
        <v>0</v>
      </c>
      <c r="W32" s="20">
        <f t="shared" si="6"/>
        <v>0</v>
      </c>
    </row>
    <row r="33" ht="15.75" customHeight="1">
      <c r="A33" s="23" t="s">
        <v>141</v>
      </c>
      <c r="B33" s="15"/>
      <c r="C33" s="15"/>
      <c r="D33" s="15"/>
      <c r="E33" s="15"/>
      <c r="F33" s="15"/>
      <c r="G33" s="15"/>
      <c r="H33" s="15"/>
      <c r="I33" s="15"/>
      <c r="J33" s="15"/>
      <c r="K33" s="15"/>
      <c r="L33" s="15"/>
      <c r="M33" s="15"/>
      <c r="N33" s="15"/>
      <c r="O33" s="15"/>
      <c r="P33" s="15"/>
      <c r="Q33" s="15"/>
      <c r="R33" s="15"/>
      <c r="S33" s="15"/>
      <c r="T33" s="15"/>
      <c r="U33" s="15"/>
      <c r="V33" s="24">
        <f t="shared" si="5"/>
        <v>0</v>
      </c>
      <c r="W33" s="20">
        <f t="shared" si="6"/>
        <v>0</v>
      </c>
    </row>
    <row r="34" ht="15.75" customHeight="1">
      <c r="A34" s="23" t="s">
        <v>105</v>
      </c>
      <c r="B34" s="15"/>
      <c r="C34" s="15"/>
      <c r="D34" s="15"/>
      <c r="E34" s="15"/>
      <c r="F34" s="15"/>
      <c r="G34" s="15"/>
      <c r="H34" s="15"/>
      <c r="I34" s="15"/>
      <c r="J34" s="15"/>
      <c r="K34" s="15"/>
      <c r="L34" s="15"/>
      <c r="M34" s="15"/>
      <c r="N34" s="15"/>
      <c r="O34" s="15"/>
      <c r="P34" s="15"/>
      <c r="Q34" s="15"/>
      <c r="R34" s="15"/>
      <c r="S34" s="15"/>
      <c r="T34" s="15"/>
      <c r="U34" s="15"/>
      <c r="V34" s="24">
        <f t="shared" si="5"/>
        <v>0</v>
      </c>
      <c r="W34" s="20">
        <f t="shared" si="6"/>
        <v>0</v>
      </c>
    </row>
    <row r="35" ht="15.75" customHeight="1">
      <c r="A35" s="23" t="s">
        <v>111</v>
      </c>
      <c r="B35" s="15"/>
      <c r="C35" s="15"/>
      <c r="D35" s="15"/>
      <c r="E35" s="15"/>
      <c r="F35" s="15"/>
      <c r="G35" s="15"/>
      <c r="H35" s="15"/>
      <c r="I35" s="15"/>
      <c r="J35" s="15"/>
      <c r="K35" s="15"/>
      <c r="L35" s="15"/>
      <c r="M35" s="15"/>
      <c r="N35" s="15"/>
      <c r="O35" s="15"/>
      <c r="P35" s="15"/>
      <c r="Q35" s="15"/>
      <c r="R35" s="15"/>
      <c r="S35" s="15"/>
      <c r="T35" s="15"/>
      <c r="U35" s="15"/>
      <c r="V35" s="24">
        <f t="shared" si="5"/>
        <v>0</v>
      </c>
      <c r="W35" s="20">
        <f t="shared" si="6"/>
        <v>0</v>
      </c>
    </row>
    <row r="36" ht="15.75" customHeight="1">
      <c r="A36" s="23" t="s">
        <v>102</v>
      </c>
      <c r="B36" s="15"/>
      <c r="C36" s="15"/>
      <c r="D36" s="15"/>
      <c r="E36" s="15"/>
      <c r="F36" s="15"/>
      <c r="G36" s="15"/>
      <c r="H36" s="15"/>
      <c r="I36" s="15"/>
      <c r="J36" s="15"/>
      <c r="K36" s="15"/>
      <c r="L36" s="15"/>
      <c r="M36" s="15"/>
      <c r="N36" s="15"/>
      <c r="O36" s="15"/>
      <c r="P36" s="15"/>
      <c r="Q36" s="15"/>
      <c r="R36" s="15"/>
      <c r="S36" s="15"/>
      <c r="T36" s="15"/>
      <c r="U36" s="15"/>
      <c r="V36" s="24">
        <f t="shared" si="5"/>
        <v>0</v>
      </c>
      <c r="W36" s="20">
        <f t="shared" si="6"/>
        <v>0</v>
      </c>
    </row>
    <row r="37" ht="15.75" customHeight="1">
      <c r="A37" s="23" t="s">
        <v>142</v>
      </c>
      <c r="B37" s="15"/>
      <c r="C37" s="15"/>
      <c r="D37" s="15"/>
      <c r="E37" s="15"/>
      <c r="F37" s="15"/>
      <c r="G37" s="15"/>
      <c r="H37" s="15"/>
      <c r="I37" s="15"/>
      <c r="J37" s="15"/>
      <c r="K37" s="15"/>
      <c r="L37" s="15"/>
      <c r="M37" s="15"/>
      <c r="N37" s="15"/>
      <c r="O37" s="15"/>
      <c r="P37" s="15"/>
      <c r="Q37" s="15"/>
      <c r="R37" s="15"/>
      <c r="S37" s="15"/>
      <c r="T37" s="15"/>
      <c r="U37" s="15"/>
      <c r="V37" s="24">
        <f t="shared" si="5"/>
        <v>0</v>
      </c>
      <c r="W37" s="20">
        <f t="shared" si="6"/>
        <v>0</v>
      </c>
    </row>
    <row r="38" ht="15.75" customHeight="1">
      <c r="A38" s="23" t="s">
        <v>99</v>
      </c>
      <c r="B38" s="15"/>
      <c r="C38" s="15"/>
      <c r="D38" s="15"/>
      <c r="E38" s="15"/>
      <c r="F38" s="15"/>
      <c r="G38" s="15"/>
      <c r="H38" s="15"/>
      <c r="I38" s="15"/>
      <c r="J38" s="15"/>
      <c r="K38" s="15"/>
      <c r="L38" s="15"/>
      <c r="M38" s="15"/>
      <c r="N38" s="15"/>
      <c r="O38" s="15"/>
      <c r="P38" s="15"/>
      <c r="Q38" s="15"/>
      <c r="R38" s="15"/>
      <c r="S38" s="15"/>
      <c r="T38" s="15"/>
      <c r="U38" s="15"/>
      <c r="V38" s="24">
        <f t="shared" si="5"/>
        <v>0</v>
      </c>
      <c r="W38" s="20">
        <f t="shared" si="6"/>
        <v>0</v>
      </c>
    </row>
    <row r="39" ht="15.75" customHeight="1">
      <c r="A39" s="23" t="s">
        <v>143</v>
      </c>
      <c r="B39" s="15"/>
      <c r="C39" s="15"/>
      <c r="D39" s="15"/>
      <c r="E39" s="15"/>
      <c r="F39" s="15"/>
      <c r="G39" s="15"/>
      <c r="H39" s="15"/>
      <c r="I39" s="15"/>
      <c r="J39" s="15"/>
      <c r="K39" s="15"/>
      <c r="L39" s="15"/>
      <c r="M39" s="15"/>
      <c r="N39" s="15"/>
      <c r="O39" s="15"/>
      <c r="P39" s="15"/>
      <c r="Q39" s="15"/>
      <c r="R39" s="15"/>
      <c r="S39" s="15"/>
      <c r="T39" s="15"/>
      <c r="U39" s="15"/>
      <c r="V39" s="24">
        <f t="shared" si="5"/>
        <v>0</v>
      </c>
      <c r="W39" s="20">
        <f t="shared" si="6"/>
        <v>0</v>
      </c>
    </row>
    <row r="40" ht="15.75" customHeight="1">
      <c r="A40" s="23"/>
      <c r="B40" s="15"/>
      <c r="C40" s="15"/>
      <c r="D40" s="15"/>
      <c r="E40" s="15"/>
      <c r="F40" s="15"/>
      <c r="G40" s="15"/>
      <c r="H40" s="15"/>
      <c r="I40" s="15"/>
      <c r="J40" s="15"/>
      <c r="K40" s="15"/>
      <c r="L40" s="15"/>
      <c r="M40" s="15"/>
      <c r="N40" s="15"/>
      <c r="O40" s="15"/>
      <c r="P40" s="15"/>
      <c r="Q40" s="15"/>
      <c r="R40" s="15"/>
      <c r="S40" s="15"/>
      <c r="T40" s="15"/>
      <c r="U40" s="15"/>
      <c r="V40" s="24">
        <f t="shared" si="5"/>
        <v>0</v>
      </c>
      <c r="W40" s="20">
        <f t="shared" si="6"/>
        <v>0</v>
      </c>
    </row>
    <row r="41" ht="15.75" customHeight="1">
      <c r="A41" s="23"/>
      <c r="B41" s="15"/>
      <c r="C41" s="15"/>
      <c r="D41" s="15"/>
      <c r="E41" s="15"/>
      <c r="F41" s="15"/>
      <c r="G41" s="15"/>
      <c r="H41" s="15"/>
      <c r="I41" s="15"/>
      <c r="J41" s="15"/>
      <c r="K41" s="15"/>
      <c r="L41" s="15"/>
      <c r="M41" s="15"/>
      <c r="N41" s="15"/>
      <c r="O41" s="15"/>
      <c r="P41" s="15"/>
      <c r="Q41" s="15"/>
      <c r="R41" s="15"/>
      <c r="S41" s="15"/>
      <c r="T41" s="15"/>
      <c r="U41" s="15"/>
      <c r="V41" s="24">
        <f t="shared" si="5"/>
        <v>0</v>
      </c>
      <c r="W41" s="20">
        <f t="shared" si="6"/>
        <v>0</v>
      </c>
    </row>
    <row r="42" ht="15.75" customHeight="1">
      <c r="A42" s="23"/>
      <c r="B42" s="15"/>
      <c r="C42" s="15"/>
      <c r="D42" s="15"/>
      <c r="E42" s="15"/>
      <c r="F42" s="15"/>
      <c r="G42" s="15"/>
      <c r="H42" s="15"/>
      <c r="I42" s="15"/>
      <c r="J42" s="15"/>
      <c r="K42" s="15"/>
      <c r="L42" s="15"/>
      <c r="M42" s="15"/>
      <c r="N42" s="15"/>
      <c r="O42" s="15"/>
      <c r="P42" s="15"/>
      <c r="Q42" s="15"/>
      <c r="R42" s="15"/>
      <c r="S42" s="15"/>
      <c r="T42" s="15"/>
      <c r="U42" s="15"/>
      <c r="V42" s="24">
        <f t="shared" si="5"/>
        <v>0</v>
      </c>
      <c r="W42" s="20">
        <f t="shared" si="6"/>
        <v>0</v>
      </c>
    </row>
    <row r="43" ht="15.75" customHeight="1">
      <c r="A43" s="23"/>
      <c r="B43" s="15"/>
      <c r="C43" s="15"/>
      <c r="D43" s="15"/>
      <c r="E43" s="15"/>
      <c r="F43" s="15"/>
      <c r="G43" s="15"/>
      <c r="H43" s="15"/>
      <c r="I43" s="15"/>
      <c r="J43" s="15"/>
      <c r="K43" s="15"/>
      <c r="L43" s="15"/>
      <c r="M43" s="15"/>
      <c r="N43" s="15"/>
      <c r="O43" s="15"/>
      <c r="P43" s="15"/>
      <c r="Q43" s="15"/>
      <c r="R43" s="15"/>
      <c r="S43" s="15"/>
      <c r="T43" s="15"/>
      <c r="U43" s="15"/>
      <c r="V43" s="24">
        <f t="shared" si="5"/>
        <v>0</v>
      </c>
      <c r="W43" s="20">
        <f t="shared" si="6"/>
        <v>0</v>
      </c>
    </row>
    <row r="44" ht="15.75" customHeight="1">
      <c r="A44" s="23"/>
      <c r="B44" s="15"/>
      <c r="C44" s="15"/>
      <c r="D44" s="15"/>
      <c r="E44" s="15"/>
      <c r="F44" s="15"/>
      <c r="G44" s="15"/>
      <c r="H44" s="15"/>
      <c r="I44" s="15"/>
      <c r="J44" s="15"/>
      <c r="K44" s="15"/>
      <c r="L44" s="15"/>
      <c r="M44" s="15"/>
      <c r="N44" s="15"/>
      <c r="O44" s="15"/>
      <c r="P44" s="15"/>
      <c r="Q44" s="15"/>
      <c r="R44" s="15"/>
      <c r="S44" s="15"/>
      <c r="T44" s="15"/>
      <c r="U44" s="15"/>
      <c r="V44" s="24">
        <f t="shared" si="5"/>
        <v>0</v>
      </c>
      <c r="W44" s="20">
        <f t="shared" si="6"/>
        <v>0</v>
      </c>
    </row>
    <row r="45" ht="15.75" customHeight="1">
      <c r="A45" s="23"/>
      <c r="B45" s="15"/>
      <c r="C45" s="15"/>
      <c r="D45" s="15"/>
      <c r="E45" s="15"/>
      <c r="F45" s="15"/>
      <c r="G45" s="15"/>
      <c r="H45" s="15"/>
      <c r="I45" s="15"/>
      <c r="J45" s="15"/>
      <c r="K45" s="15"/>
      <c r="L45" s="15"/>
      <c r="M45" s="15"/>
      <c r="N45" s="15"/>
      <c r="O45" s="15"/>
      <c r="P45" s="15"/>
      <c r="Q45" s="15"/>
      <c r="R45" s="15"/>
      <c r="S45" s="15"/>
      <c r="T45" s="15"/>
      <c r="U45" s="15"/>
      <c r="V45" s="24">
        <f t="shared" si="5"/>
        <v>0</v>
      </c>
      <c r="W45" s="20">
        <f t="shared" si="6"/>
        <v>0</v>
      </c>
    </row>
    <row r="46" ht="15.75" customHeight="1">
      <c r="A46" s="7" t="s">
        <v>144</v>
      </c>
      <c r="V46" s="24">
        <f t="shared" ref="V46:W46" si="7">SUM(V18:V45)</f>
        <v>0</v>
      </c>
      <c r="W46" s="25">
        <f t="shared" si="7"/>
        <v>0</v>
      </c>
    </row>
    <row r="47" ht="15.75" customHeight="1"/>
    <row r="48" ht="15.75" customHeight="1">
      <c r="A48" s="21" t="s">
        <v>146</v>
      </c>
      <c r="B48" s="22" t="s">
        <v>41</v>
      </c>
      <c r="C48" s="22" t="s">
        <v>42</v>
      </c>
      <c r="D48" s="22" t="s">
        <v>43</v>
      </c>
      <c r="E48" s="22" t="s">
        <v>44</v>
      </c>
      <c r="F48" s="22" t="s">
        <v>45</v>
      </c>
      <c r="G48" s="22" t="s">
        <v>46</v>
      </c>
      <c r="H48" s="22" t="s">
        <v>47</v>
      </c>
      <c r="I48" s="22" t="s">
        <v>48</v>
      </c>
      <c r="J48" s="22" t="s">
        <v>49</v>
      </c>
      <c r="K48" s="22" t="s">
        <v>50</v>
      </c>
      <c r="L48" s="22" t="s">
        <v>51</v>
      </c>
      <c r="M48" s="22" t="s">
        <v>52</v>
      </c>
      <c r="N48" s="22" t="s">
        <v>53</v>
      </c>
      <c r="O48" s="22" t="s">
        <v>54</v>
      </c>
      <c r="P48" s="22" t="s">
        <v>55</v>
      </c>
      <c r="Q48" s="22" t="s">
        <v>56</v>
      </c>
      <c r="R48" s="22" t="s">
        <v>57</v>
      </c>
      <c r="S48" s="22" t="s">
        <v>58</v>
      </c>
      <c r="T48" s="22" t="s">
        <v>59</v>
      </c>
      <c r="U48" s="22" t="s">
        <v>60</v>
      </c>
      <c r="V48" s="22" t="s">
        <v>147</v>
      </c>
    </row>
    <row r="49" ht="15.75" customHeight="1">
      <c r="A49" s="23" t="str">
        <f t="shared" ref="A49:A76" si="8">IF($A18="","",$A18)</f>
        <v>Ahmed</v>
      </c>
      <c r="B49" s="15"/>
      <c r="C49" s="15"/>
      <c r="D49" s="15"/>
      <c r="E49" s="15"/>
      <c r="F49" s="15"/>
      <c r="G49" s="15"/>
      <c r="H49" s="15"/>
      <c r="I49" s="15"/>
      <c r="J49" s="15"/>
      <c r="K49" s="15"/>
      <c r="L49" s="15"/>
      <c r="M49" s="15"/>
      <c r="N49" s="15"/>
      <c r="O49" s="15"/>
      <c r="P49" s="15"/>
      <c r="Q49" s="15"/>
      <c r="R49" s="15"/>
      <c r="S49" s="15"/>
      <c r="T49" s="15"/>
      <c r="U49" s="15"/>
      <c r="V49" s="24">
        <f t="shared" ref="V49:V76" si="9">SUMPRODUCT(B49:U49*($B$16:$U$16=""))</f>
        <v>0</v>
      </c>
    </row>
    <row r="50" ht="15.75" customHeight="1">
      <c r="A50" s="23" t="str">
        <f t="shared" si="8"/>
        <v>Alex Ruben</v>
      </c>
      <c r="B50" s="15"/>
      <c r="C50" s="15"/>
      <c r="D50" s="15"/>
      <c r="E50" s="15"/>
      <c r="F50" s="15"/>
      <c r="G50" s="15"/>
      <c r="H50" s="15"/>
      <c r="I50" s="15"/>
      <c r="J50" s="15"/>
      <c r="K50" s="15"/>
      <c r="L50" s="15"/>
      <c r="M50" s="15"/>
      <c r="N50" s="15"/>
      <c r="O50" s="15"/>
      <c r="P50" s="15"/>
      <c r="Q50" s="15"/>
      <c r="R50" s="15"/>
      <c r="S50" s="15"/>
      <c r="T50" s="15"/>
      <c r="U50" s="15"/>
      <c r="V50" s="24">
        <f t="shared" si="9"/>
        <v>0</v>
      </c>
    </row>
    <row r="51" ht="15.75" customHeight="1">
      <c r="A51" s="23" t="str">
        <f t="shared" si="8"/>
        <v>Andy Cowan</v>
      </c>
      <c r="B51" s="15"/>
      <c r="C51" s="15"/>
      <c r="D51" s="15"/>
      <c r="E51" s="15"/>
      <c r="F51" s="15"/>
      <c r="G51" s="15"/>
      <c r="H51" s="15"/>
      <c r="I51" s="15"/>
      <c r="J51" s="15"/>
      <c r="K51" s="15"/>
      <c r="L51" s="15"/>
      <c r="M51" s="15"/>
      <c r="N51" s="15"/>
      <c r="O51" s="15"/>
      <c r="P51" s="15"/>
      <c r="Q51" s="15"/>
      <c r="R51" s="15"/>
      <c r="S51" s="15"/>
      <c r="T51" s="15"/>
      <c r="U51" s="15"/>
      <c r="V51" s="24">
        <f t="shared" si="9"/>
        <v>0</v>
      </c>
    </row>
    <row r="52" ht="15.75" customHeight="1">
      <c r="A52" s="23" t="str">
        <f t="shared" si="8"/>
        <v>Ben Merrett</v>
      </c>
      <c r="B52" s="15"/>
      <c r="C52" s="15"/>
      <c r="D52" s="15"/>
      <c r="E52" s="15"/>
      <c r="F52" s="15"/>
      <c r="G52" s="15"/>
      <c r="H52" s="15"/>
      <c r="I52" s="15"/>
      <c r="J52" s="15"/>
      <c r="K52" s="15"/>
      <c r="L52" s="15"/>
      <c r="M52" s="15"/>
      <c r="N52" s="15"/>
      <c r="O52" s="15"/>
      <c r="P52" s="15"/>
      <c r="Q52" s="15"/>
      <c r="R52" s="15"/>
      <c r="S52" s="15"/>
      <c r="T52" s="15"/>
      <c r="U52" s="15"/>
      <c r="V52" s="24">
        <f t="shared" si="9"/>
        <v>0</v>
      </c>
    </row>
    <row r="53" ht="15.75" customHeight="1">
      <c r="A53" s="23" t="str">
        <f t="shared" si="8"/>
        <v>Callum McCarthy</v>
      </c>
      <c r="B53" s="15"/>
      <c r="C53" s="15"/>
      <c r="D53" s="15"/>
      <c r="E53" s="15"/>
      <c r="F53" s="15"/>
      <c r="G53" s="15"/>
      <c r="H53" s="15"/>
      <c r="I53" s="15"/>
      <c r="J53" s="15"/>
      <c r="K53" s="15"/>
      <c r="L53" s="15"/>
      <c r="M53" s="15"/>
      <c r="N53" s="15"/>
      <c r="O53" s="15"/>
      <c r="P53" s="15"/>
      <c r="Q53" s="15"/>
      <c r="R53" s="15"/>
      <c r="S53" s="15"/>
      <c r="T53" s="15"/>
      <c r="U53" s="15"/>
      <c r="V53" s="24">
        <f t="shared" si="9"/>
        <v>0</v>
      </c>
    </row>
    <row r="54" ht="15.75" customHeight="1">
      <c r="A54" s="23" t="str">
        <f t="shared" si="8"/>
        <v>Cecil Watson</v>
      </c>
      <c r="B54" s="15"/>
      <c r="C54" s="15"/>
      <c r="D54" s="15"/>
      <c r="E54" s="15"/>
      <c r="F54" s="15"/>
      <c r="G54" s="15"/>
      <c r="H54" s="15"/>
      <c r="I54" s="15"/>
      <c r="J54" s="15"/>
      <c r="K54" s="15"/>
      <c r="L54" s="15"/>
      <c r="M54" s="15"/>
      <c r="N54" s="15"/>
      <c r="O54" s="15"/>
      <c r="P54" s="15"/>
      <c r="Q54" s="15"/>
      <c r="R54" s="15"/>
      <c r="S54" s="15"/>
      <c r="T54" s="15"/>
      <c r="U54" s="15"/>
      <c r="V54" s="24">
        <f t="shared" si="9"/>
        <v>0</v>
      </c>
    </row>
    <row r="55" ht="15.75" customHeight="1">
      <c r="A55" s="23" t="str">
        <f t="shared" si="8"/>
        <v>Conall Templeman</v>
      </c>
      <c r="B55" s="15"/>
      <c r="C55" s="15"/>
      <c r="D55" s="15"/>
      <c r="E55" s="15"/>
      <c r="F55" s="15"/>
      <c r="G55" s="15"/>
      <c r="H55" s="15"/>
      <c r="I55" s="15"/>
      <c r="J55" s="15"/>
      <c r="K55" s="15"/>
      <c r="L55" s="15"/>
      <c r="M55" s="15"/>
      <c r="N55" s="15"/>
      <c r="O55" s="15"/>
      <c r="P55" s="15"/>
      <c r="Q55" s="15"/>
      <c r="R55" s="15"/>
      <c r="S55" s="15"/>
      <c r="T55" s="15"/>
      <c r="U55" s="15"/>
      <c r="V55" s="24">
        <f t="shared" si="9"/>
        <v>0</v>
      </c>
    </row>
    <row r="56" ht="15.75" customHeight="1">
      <c r="A56" s="23" t="str">
        <f t="shared" si="8"/>
        <v>Eddie Ringer</v>
      </c>
      <c r="B56" s="15"/>
      <c r="C56" s="15"/>
      <c r="D56" s="15"/>
      <c r="E56" s="15"/>
      <c r="F56" s="15"/>
      <c r="G56" s="15"/>
      <c r="H56" s="15"/>
      <c r="I56" s="15"/>
      <c r="J56" s="15"/>
      <c r="K56" s="15"/>
      <c r="L56" s="15"/>
      <c r="M56" s="15"/>
      <c r="N56" s="15"/>
      <c r="O56" s="15"/>
      <c r="P56" s="15"/>
      <c r="Q56" s="15"/>
      <c r="R56" s="15"/>
      <c r="S56" s="15"/>
      <c r="T56" s="15"/>
      <c r="U56" s="15"/>
      <c r="V56" s="24">
        <f t="shared" si="9"/>
        <v>0</v>
      </c>
    </row>
    <row r="57" ht="15.75" customHeight="1">
      <c r="A57" s="23" t="str">
        <f t="shared" si="8"/>
        <v>Finn Cawley</v>
      </c>
      <c r="B57" s="15"/>
      <c r="C57" s="15"/>
      <c r="D57" s="15"/>
      <c r="E57" s="15"/>
      <c r="F57" s="15"/>
      <c r="G57" s="15"/>
      <c r="H57" s="15"/>
      <c r="I57" s="15"/>
      <c r="J57" s="15"/>
      <c r="K57" s="15"/>
      <c r="L57" s="15"/>
      <c r="M57" s="15"/>
      <c r="N57" s="15"/>
      <c r="O57" s="15"/>
      <c r="P57" s="15"/>
      <c r="Q57" s="15"/>
      <c r="R57" s="15"/>
      <c r="S57" s="15"/>
      <c r="T57" s="15"/>
      <c r="U57" s="15"/>
      <c r="V57" s="24">
        <f t="shared" si="9"/>
        <v>0</v>
      </c>
    </row>
    <row r="58" ht="15.75" customHeight="1">
      <c r="A58" s="23" t="str">
        <f t="shared" si="8"/>
        <v>George Barbantan</v>
      </c>
      <c r="B58" s="15"/>
      <c r="C58" s="15"/>
      <c r="D58" s="15"/>
      <c r="E58" s="15"/>
      <c r="F58" s="15"/>
      <c r="G58" s="15"/>
      <c r="H58" s="15"/>
      <c r="I58" s="15"/>
      <c r="J58" s="15"/>
      <c r="K58" s="15"/>
      <c r="L58" s="15"/>
      <c r="M58" s="15"/>
      <c r="N58" s="15"/>
      <c r="O58" s="15"/>
      <c r="P58" s="15"/>
      <c r="Q58" s="15"/>
      <c r="R58" s="15"/>
      <c r="S58" s="15"/>
      <c r="T58" s="15"/>
      <c r="U58" s="15"/>
      <c r="V58" s="24">
        <f t="shared" si="9"/>
        <v>0</v>
      </c>
    </row>
    <row r="59" ht="15.75" customHeight="1">
      <c r="A59" s="23" t="str">
        <f t="shared" si="8"/>
        <v>Henry Linklater</v>
      </c>
      <c r="B59" s="15"/>
      <c r="C59" s="15"/>
      <c r="D59" s="15"/>
      <c r="E59" s="15"/>
      <c r="F59" s="15"/>
      <c r="G59" s="15"/>
      <c r="H59" s="15"/>
      <c r="I59" s="15"/>
      <c r="J59" s="15"/>
      <c r="K59" s="15"/>
      <c r="L59" s="15"/>
      <c r="M59" s="15"/>
      <c r="N59" s="15"/>
      <c r="O59" s="15"/>
      <c r="P59" s="15"/>
      <c r="Q59" s="15"/>
      <c r="R59" s="15"/>
      <c r="S59" s="15"/>
      <c r="T59" s="15"/>
      <c r="U59" s="15"/>
      <c r="V59" s="24">
        <f t="shared" si="9"/>
        <v>0</v>
      </c>
    </row>
    <row r="60" ht="15.75" customHeight="1">
      <c r="A60" s="23" t="str">
        <f t="shared" si="8"/>
        <v>Isaac Mond</v>
      </c>
      <c r="B60" s="15"/>
      <c r="C60" s="15"/>
      <c r="D60" s="15"/>
      <c r="E60" s="15"/>
      <c r="F60" s="15"/>
      <c r="G60" s="15"/>
      <c r="H60" s="15"/>
      <c r="I60" s="15"/>
      <c r="J60" s="15"/>
      <c r="K60" s="15"/>
      <c r="L60" s="15"/>
      <c r="M60" s="15"/>
      <c r="N60" s="15"/>
      <c r="O60" s="15"/>
      <c r="P60" s="15"/>
      <c r="Q60" s="15"/>
      <c r="R60" s="15"/>
      <c r="S60" s="15"/>
      <c r="T60" s="15"/>
      <c r="U60" s="15"/>
      <c r="V60" s="24">
        <f t="shared" si="9"/>
        <v>0</v>
      </c>
    </row>
    <row r="61" ht="15.75" customHeight="1">
      <c r="A61" s="23" t="str">
        <f t="shared" si="8"/>
        <v>Jake Harrison</v>
      </c>
      <c r="B61" s="15"/>
      <c r="C61" s="15"/>
      <c r="D61" s="15"/>
      <c r="E61" s="15"/>
      <c r="F61" s="15"/>
      <c r="G61" s="15"/>
      <c r="H61" s="15"/>
      <c r="I61" s="15"/>
      <c r="J61" s="15"/>
      <c r="K61" s="15"/>
      <c r="L61" s="15"/>
      <c r="M61" s="15"/>
      <c r="N61" s="15"/>
      <c r="O61" s="15"/>
      <c r="P61" s="15"/>
      <c r="Q61" s="15"/>
      <c r="R61" s="15"/>
      <c r="S61" s="15"/>
      <c r="T61" s="15"/>
      <c r="U61" s="15"/>
      <c r="V61" s="24">
        <f t="shared" si="9"/>
        <v>0</v>
      </c>
    </row>
    <row r="62" ht="15.75" customHeight="1">
      <c r="A62" s="23" t="str">
        <f t="shared" si="8"/>
        <v>Jake Ringer</v>
      </c>
      <c r="B62" s="15"/>
      <c r="C62" s="15"/>
      <c r="D62" s="15"/>
      <c r="E62" s="15"/>
      <c r="F62" s="15"/>
      <c r="G62" s="15"/>
      <c r="H62" s="15"/>
      <c r="I62" s="15"/>
      <c r="J62" s="15"/>
      <c r="K62" s="15"/>
      <c r="L62" s="15"/>
      <c r="M62" s="15"/>
      <c r="N62" s="15"/>
      <c r="O62" s="15"/>
      <c r="P62" s="15"/>
      <c r="Q62" s="15"/>
      <c r="R62" s="15"/>
      <c r="S62" s="15"/>
      <c r="T62" s="15"/>
      <c r="U62" s="15"/>
      <c r="V62" s="24">
        <f t="shared" si="9"/>
        <v>0</v>
      </c>
    </row>
    <row r="63" ht="15.75" customHeight="1">
      <c r="A63" s="23" t="str">
        <f t="shared" si="8"/>
        <v>Keshav Singh</v>
      </c>
      <c r="B63" s="15"/>
      <c r="C63" s="15"/>
      <c r="D63" s="15"/>
      <c r="E63" s="15"/>
      <c r="F63" s="15"/>
      <c r="G63" s="15"/>
      <c r="H63" s="15"/>
      <c r="I63" s="15"/>
      <c r="J63" s="15"/>
      <c r="K63" s="15"/>
      <c r="L63" s="15"/>
      <c r="M63" s="15"/>
      <c r="N63" s="15"/>
      <c r="O63" s="15"/>
      <c r="P63" s="15"/>
      <c r="Q63" s="15"/>
      <c r="R63" s="15"/>
      <c r="S63" s="15"/>
      <c r="T63" s="15"/>
      <c r="U63" s="15"/>
      <c r="V63" s="24">
        <f t="shared" si="9"/>
        <v>0</v>
      </c>
    </row>
    <row r="64" ht="15.75" customHeight="1">
      <c r="A64" s="23" t="str">
        <f t="shared" si="8"/>
        <v>Mark Pellowe</v>
      </c>
      <c r="B64" s="15"/>
      <c r="C64" s="15"/>
      <c r="D64" s="15"/>
      <c r="E64" s="15"/>
      <c r="F64" s="15"/>
      <c r="G64" s="15"/>
      <c r="H64" s="15"/>
      <c r="I64" s="15"/>
      <c r="J64" s="15"/>
      <c r="K64" s="15"/>
      <c r="L64" s="15"/>
      <c r="M64" s="15"/>
      <c r="N64" s="15"/>
      <c r="O64" s="15"/>
      <c r="P64" s="15"/>
      <c r="Q64" s="15"/>
      <c r="R64" s="15"/>
      <c r="S64" s="15"/>
      <c r="T64" s="15"/>
      <c r="U64" s="15"/>
      <c r="V64" s="24">
        <f t="shared" si="9"/>
        <v>0</v>
      </c>
    </row>
    <row r="65" ht="15.75" customHeight="1">
      <c r="A65" s="23" t="str">
        <f t="shared" si="8"/>
        <v>Max Cobain</v>
      </c>
      <c r="B65" s="15"/>
      <c r="C65" s="15"/>
      <c r="D65" s="15"/>
      <c r="E65" s="15"/>
      <c r="F65" s="15"/>
      <c r="G65" s="15"/>
      <c r="H65" s="15"/>
      <c r="I65" s="15"/>
      <c r="J65" s="15"/>
      <c r="K65" s="15"/>
      <c r="L65" s="15"/>
      <c r="M65" s="15"/>
      <c r="N65" s="15"/>
      <c r="O65" s="15"/>
      <c r="P65" s="15"/>
      <c r="Q65" s="15"/>
      <c r="R65" s="15"/>
      <c r="S65" s="15"/>
      <c r="T65" s="15"/>
      <c r="U65" s="15"/>
      <c r="V65" s="24">
        <f t="shared" si="9"/>
        <v>0</v>
      </c>
    </row>
    <row r="66" ht="15.75" customHeight="1">
      <c r="A66" s="23" t="str">
        <f t="shared" si="8"/>
        <v>Neeraj Radia</v>
      </c>
      <c r="B66" s="15"/>
      <c r="C66" s="15"/>
      <c r="D66" s="15"/>
      <c r="E66" s="15"/>
      <c r="F66" s="15"/>
      <c r="G66" s="15"/>
      <c r="H66" s="15"/>
      <c r="I66" s="15"/>
      <c r="J66" s="15"/>
      <c r="K66" s="15"/>
      <c r="L66" s="15"/>
      <c r="M66" s="15"/>
      <c r="N66" s="15"/>
      <c r="O66" s="15"/>
      <c r="P66" s="15"/>
      <c r="Q66" s="15"/>
      <c r="R66" s="15"/>
      <c r="S66" s="15"/>
      <c r="T66" s="15"/>
      <c r="U66" s="15"/>
      <c r="V66" s="24">
        <f t="shared" si="9"/>
        <v>0</v>
      </c>
    </row>
    <row r="67" ht="15.75" customHeight="1">
      <c r="A67" s="23" t="str">
        <f t="shared" si="8"/>
        <v>Phil Knott</v>
      </c>
      <c r="B67" s="15"/>
      <c r="C67" s="15"/>
      <c r="D67" s="15"/>
      <c r="E67" s="15"/>
      <c r="F67" s="15"/>
      <c r="G67" s="15"/>
      <c r="H67" s="15"/>
      <c r="I67" s="15"/>
      <c r="J67" s="15"/>
      <c r="K67" s="15"/>
      <c r="L67" s="15"/>
      <c r="M67" s="15"/>
      <c r="N67" s="15"/>
      <c r="O67" s="15"/>
      <c r="P67" s="15"/>
      <c r="Q67" s="15"/>
      <c r="R67" s="15"/>
      <c r="S67" s="15"/>
      <c r="T67" s="15"/>
      <c r="U67" s="15"/>
      <c r="V67" s="24">
        <f t="shared" si="9"/>
        <v>0</v>
      </c>
    </row>
    <row r="68" ht="15.75" customHeight="1">
      <c r="A68" s="23" t="str">
        <f t="shared" si="8"/>
        <v>Robin</v>
      </c>
      <c r="B68" s="15"/>
      <c r="C68" s="15"/>
      <c r="D68" s="15"/>
      <c r="E68" s="15"/>
      <c r="F68" s="15"/>
      <c r="G68" s="15"/>
      <c r="H68" s="15"/>
      <c r="I68" s="15"/>
      <c r="J68" s="15"/>
      <c r="K68" s="15"/>
      <c r="L68" s="15"/>
      <c r="M68" s="15"/>
      <c r="N68" s="15"/>
      <c r="O68" s="15"/>
      <c r="P68" s="15"/>
      <c r="Q68" s="15"/>
      <c r="R68" s="15"/>
      <c r="S68" s="15"/>
      <c r="T68" s="15"/>
      <c r="U68" s="15"/>
      <c r="V68" s="24">
        <f t="shared" si="9"/>
        <v>0</v>
      </c>
    </row>
    <row r="69" ht="15.75" customHeight="1">
      <c r="A69" s="23" t="str">
        <f t="shared" si="8"/>
        <v>Sam Holt</v>
      </c>
      <c r="B69" s="15"/>
      <c r="C69" s="15"/>
      <c r="D69" s="15"/>
      <c r="E69" s="15"/>
      <c r="F69" s="15"/>
      <c r="G69" s="15"/>
      <c r="H69" s="15"/>
      <c r="I69" s="15"/>
      <c r="J69" s="15"/>
      <c r="K69" s="15"/>
      <c r="L69" s="15"/>
      <c r="M69" s="15"/>
      <c r="N69" s="15"/>
      <c r="O69" s="15"/>
      <c r="P69" s="15"/>
      <c r="Q69" s="15"/>
      <c r="R69" s="15"/>
      <c r="S69" s="15"/>
      <c r="T69" s="15"/>
      <c r="U69" s="15"/>
      <c r="V69" s="24">
        <f t="shared" si="9"/>
        <v>0</v>
      </c>
    </row>
    <row r="70" ht="15.75" customHeight="1">
      <c r="A70" s="23" t="str">
        <f t="shared" si="8"/>
        <v>Seb Burgess</v>
      </c>
      <c r="B70" s="15"/>
      <c r="C70" s="15"/>
      <c r="D70" s="15"/>
      <c r="E70" s="15"/>
      <c r="F70" s="15"/>
      <c r="G70" s="15"/>
      <c r="H70" s="15"/>
      <c r="I70" s="15"/>
      <c r="J70" s="15"/>
      <c r="K70" s="15"/>
      <c r="L70" s="15"/>
      <c r="M70" s="15"/>
      <c r="N70" s="15"/>
      <c r="O70" s="15"/>
      <c r="P70" s="15"/>
      <c r="Q70" s="15"/>
      <c r="R70" s="15"/>
      <c r="S70" s="15"/>
      <c r="T70" s="15"/>
      <c r="U70" s="15"/>
      <c r="V70" s="24">
        <f t="shared" si="9"/>
        <v>0</v>
      </c>
    </row>
    <row r="71" ht="15.75" customHeight="1">
      <c r="A71" s="23" t="str">
        <f t="shared" si="8"/>
        <v/>
      </c>
      <c r="B71" s="15"/>
      <c r="C71" s="15"/>
      <c r="D71" s="15"/>
      <c r="E71" s="15"/>
      <c r="F71" s="15"/>
      <c r="G71" s="15"/>
      <c r="H71" s="15"/>
      <c r="I71" s="15"/>
      <c r="J71" s="15"/>
      <c r="K71" s="15"/>
      <c r="L71" s="15"/>
      <c r="M71" s="15"/>
      <c r="N71" s="15"/>
      <c r="O71" s="15"/>
      <c r="P71" s="15"/>
      <c r="Q71" s="15"/>
      <c r="R71" s="15"/>
      <c r="S71" s="15"/>
      <c r="T71" s="15"/>
      <c r="U71" s="15"/>
      <c r="V71" s="24">
        <f t="shared" si="9"/>
        <v>0</v>
      </c>
    </row>
    <row r="72" ht="15.75" customHeight="1">
      <c r="A72" s="23" t="str">
        <f t="shared" si="8"/>
        <v/>
      </c>
      <c r="B72" s="15"/>
      <c r="C72" s="15"/>
      <c r="D72" s="15"/>
      <c r="E72" s="15"/>
      <c r="F72" s="15"/>
      <c r="G72" s="15"/>
      <c r="H72" s="15"/>
      <c r="I72" s="15"/>
      <c r="J72" s="15"/>
      <c r="K72" s="15"/>
      <c r="L72" s="15"/>
      <c r="M72" s="15"/>
      <c r="N72" s="15"/>
      <c r="O72" s="15"/>
      <c r="P72" s="15"/>
      <c r="Q72" s="15"/>
      <c r="R72" s="15"/>
      <c r="S72" s="15"/>
      <c r="T72" s="15"/>
      <c r="U72" s="15"/>
      <c r="V72" s="24">
        <f t="shared" si="9"/>
        <v>0</v>
      </c>
    </row>
    <row r="73" ht="15.75" customHeight="1">
      <c r="A73" s="23" t="str">
        <f t="shared" si="8"/>
        <v/>
      </c>
      <c r="B73" s="15"/>
      <c r="C73" s="15"/>
      <c r="D73" s="15"/>
      <c r="E73" s="15"/>
      <c r="F73" s="15"/>
      <c r="G73" s="15"/>
      <c r="H73" s="15"/>
      <c r="I73" s="15"/>
      <c r="J73" s="15"/>
      <c r="K73" s="15"/>
      <c r="L73" s="15"/>
      <c r="M73" s="15"/>
      <c r="N73" s="15"/>
      <c r="O73" s="15"/>
      <c r="P73" s="15"/>
      <c r="Q73" s="15"/>
      <c r="R73" s="15"/>
      <c r="S73" s="15"/>
      <c r="T73" s="15"/>
      <c r="U73" s="15"/>
      <c r="V73" s="24">
        <f t="shared" si="9"/>
        <v>0</v>
      </c>
    </row>
    <row r="74" ht="15.75" customHeight="1">
      <c r="A74" s="23" t="str">
        <f t="shared" si="8"/>
        <v/>
      </c>
      <c r="B74" s="15"/>
      <c r="C74" s="15"/>
      <c r="D74" s="15"/>
      <c r="E74" s="15"/>
      <c r="F74" s="15"/>
      <c r="G74" s="15"/>
      <c r="H74" s="15"/>
      <c r="I74" s="15"/>
      <c r="J74" s="15"/>
      <c r="K74" s="15"/>
      <c r="L74" s="15"/>
      <c r="M74" s="15"/>
      <c r="N74" s="15"/>
      <c r="O74" s="15"/>
      <c r="P74" s="15"/>
      <c r="Q74" s="15"/>
      <c r="R74" s="15"/>
      <c r="S74" s="15"/>
      <c r="T74" s="15"/>
      <c r="U74" s="15"/>
      <c r="V74" s="24">
        <f t="shared" si="9"/>
        <v>0</v>
      </c>
    </row>
    <row r="75" ht="15.75" customHeight="1">
      <c r="A75" s="23" t="str">
        <f t="shared" si="8"/>
        <v/>
      </c>
      <c r="B75" s="15"/>
      <c r="C75" s="15"/>
      <c r="D75" s="15"/>
      <c r="E75" s="15"/>
      <c r="F75" s="15"/>
      <c r="G75" s="15"/>
      <c r="H75" s="15"/>
      <c r="I75" s="15"/>
      <c r="J75" s="15"/>
      <c r="K75" s="15"/>
      <c r="L75" s="15"/>
      <c r="M75" s="15"/>
      <c r="N75" s="15"/>
      <c r="O75" s="15"/>
      <c r="P75" s="15"/>
      <c r="Q75" s="15"/>
      <c r="R75" s="15"/>
      <c r="S75" s="15"/>
      <c r="T75" s="15"/>
      <c r="U75" s="15"/>
      <c r="V75" s="24">
        <f t="shared" si="9"/>
        <v>0</v>
      </c>
    </row>
    <row r="76" ht="15.75" customHeight="1">
      <c r="A76" s="23" t="str">
        <f t="shared" si="8"/>
        <v/>
      </c>
      <c r="B76" s="15"/>
      <c r="C76" s="15"/>
      <c r="D76" s="15"/>
      <c r="E76" s="15"/>
      <c r="F76" s="15"/>
      <c r="G76" s="15"/>
      <c r="H76" s="15"/>
      <c r="I76" s="15"/>
      <c r="J76" s="15"/>
      <c r="K76" s="15"/>
      <c r="L76" s="15"/>
      <c r="M76" s="15"/>
      <c r="N76" s="15"/>
      <c r="O76" s="15"/>
      <c r="P76" s="15"/>
      <c r="Q76" s="15"/>
      <c r="R76" s="15"/>
      <c r="S76" s="15"/>
      <c r="T76" s="15"/>
      <c r="U76" s="15"/>
      <c r="V76" s="24">
        <f t="shared" si="9"/>
        <v>0</v>
      </c>
    </row>
    <row r="77" ht="15.75" customHeight="1">
      <c r="A77" s="7" t="s">
        <v>144</v>
      </c>
      <c r="V77" s="24">
        <f>SUM(V49:V76)</f>
        <v>0</v>
      </c>
    </row>
    <row r="78" ht="15.75" customHeight="1"/>
    <row r="79" ht="15.75" customHeight="1">
      <c r="A79" s="21" t="s">
        <v>148</v>
      </c>
      <c r="B79" s="22" t="s">
        <v>41</v>
      </c>
      <c r="C79" s="22" t="s">
        <v>42</v>
      </c>
      <c r="D79" s="22" t="s">
        <v>43</v>
      </c>
      <c r="E79" s="22" t="s">
        <v>44</v>
      </c>
      <c r="F79" s="22" t="s">
        <v>45</v>
      </c>
      <c r="G79" s="22" t="s">
        <v>46</v>
      </c>
      <c r="H79" s="22" t="s">
        <v>47</v>
      </c>
      <c r="I79" s="22" t="s">
        <v>48</v>
      </c>
      <c r="J79" s="22" t="s">
        <v>49</v>
      </c>
      <c r="K79" s="22" t="s">
        <v>50</v>
      </c>
      <c r="L79" s="22" t="s">
        <v>51</v>
      </c>
      <c r="M79" s="22" t="s">
        <v>52</v>
      </c>
      <c r="N79" s="22" t="s">
        <v>53</v>
      </c>
      <c r="O79" s="22" t="s">
        <v>54</v>
      </c>
      <c r="P79" s="22" t="s">
        <v>55</v>
      </c>
      <c r="Q79" s="22" t="s">
        <v>56</v>
      </c>
      <c r="R79" s="22" t="s">
        <v>57</v>
      </c>
      <c r="S79" s="22" t="s">
        <v>58</v>
      </c>
      <c r="T79" s="22" t="s">
        <v>59</v>
      </c>
      <c r="U79" s="22" t="s">
        <v>60</v>
      </c>
      <c r="V79" s="22" t="s">
        <v>149</v>
      </c>
    </row>
    <row r="80" ht="15.75" customHeight="1">
      <c r="A80" s="23" t="str">
        <f t="shared" ref="A80:A107" si="10">IF($A18="","",$A18)</f>
        <v>Ahmed</v>
      </c>
      <c r="B80" s="15"/>
      <c r="C80" s="15"/>
      <c r="D80" s="15"/>
      <c r="E80" s="15"/>
      <c r="F80" s="15"/>
      <c r="G80" s="15"/>
      <c r="H80" s="15"/>
      <c r="I80" s="15"/>
      <c r="J80" s="15"/>
      <c r="K80" s="15"/>
      <c r="L80" s="15"/>
      <c r="M80" s="15"/>
      <c r="N80" s="15"/>
      <c r="O80" s="15"/>
      <c r="P80" s="15"/>
      <c r="Q80" s="15"/>
      <c r="R80" s="15"/>
      <c r="S80" s="15"/>
      <c r="T80" s="15"/>
      <c r="U80" s="15"/>
      <c r="V80" s="24">
        <f t="shared" ref="V80:V107" si="11">SUMPRODUCT(B80:U80*($B$16:$U$16=""))</f>
        <v>0</v>
      </c>
    </row>
    <row r="81" ht="15.75" customHeight="1">
      <c r="A81" s="23" t="str">
        <f t="shared" si="10"/>
        <v>Alex Ruben</v>
      </c>
      <c r="B81" s="15"/>
      <c r="C81" s="15"/>
      <c r="D81" s="15"/>
      <c r="E81" s="15"/>
      <c r="F81" s="15"/>
      <c r="G81" s="15"/>
      <c r="H81" s="15"/>
      <c r="I81" s="15"/>
      <c r="J81" s="15"/>
      <c r="K81" s="15"/>
      <c r="L81" s="15"/>
      <c r="M81" s="15"/>
      <c r="N81" s="15"/>
      <c r="O81" s="15"/>
      <c r="P81" s="15"/>
      <c r="Q81" s="15"/>
      <c r="R81" s="15"/>
      <c r="S81" s="15"/>
      <c r="T81" s="15"/>
      <c r="U81" s="15"/>
      <c r="V81" s="24">
        <f t="shared" si="11"/>
        <v>0</v>
      </c>
    </row>
    <row r="82" ht="15.75" customHeight="1">
      <c r="A82" s="23" t="str">
        <f t="shared" si="10"/>
        <v>Andy Cowan</v>
      </c>
      <c r="B82" s="15"/>
      <c r="C82" s="15"/>
      <c r="D82" s="15"/>
      <c r="E82" s="15"/>
      <c r="F82" s="15"/>
      <c r="G82" s="15"/>
      <c r="H82" s="15"/>
      <c r="I82" s="15"/>
      <c r="J82" s="15"/>
      <c r="K82" s="15"/>
      <c r="L82" s="15"/>
      <c r="M82" s="15"/>
      <c r="N82" s="15"/>
      <c r="O82" s="15"/>
      <c r="P82" s="15"/>
      <c r="Q82" s="15"/>
      <c r="R82" s="15"/>
      <c r="S82" s="15"/>
      <c r="T82" s="15"/>
      <c r="U82" s="15"/>
      <c r="V82" s="24">
        <f t="shared" si="11"/>
        <v>0</v>
      </c>
    </row>
    <row r="83" ht="15.75" customHeight="1">
      <c r="A83" s="23" t="str">
        <f t="shared" si="10"/>
        <v>Ben Merrett</v>
      </c>
      <c r="B83" s="15"/>
      <c r="C83" s="15"/>
      <c r="D83" s="15"/>
      <c r="E83" s="15"/>
      <c r="F83" s="15"/>
      <c r="G83" s="15"/>
      <c r="H83" s="15"/>
      <c r="I83" s="15"/>
      <c r="J83" s="15"/>
      <c r="K83" s="15"/>
      <c r="L83" s="15"/>
      <c r="M83" s="15"/>
      <c r="N83" s="15"/>
      <c r="O83" s="15"/>
      <c r="P83" s="15"/>
      <c r="Q83" s="15"/>
      <c r="R83" s="15"/>
      <c r="S83" s="15"/>
      <c r="T83" s="15"/>
      <c r="U83" s="15"/>
      <c r="V83" s="24">
        <f t="shared" si="11"/>
        <v>0</v>
      </c>
    </row>
    <row r="84" ht="15.75" customHeight="1">
      <c r="A84" s="23" t="str">
        <f t="shared" si="10"/>
        <v>Callum McCarthy</v>
      </c>
      <c r="B84" s="15"/>
      <c r="C84" s="15"/>
      <c r="D84" s="15"/>
      <c r="E84" s="15"/>
      <c r="F84" s="15"/>
      <c r="G84" s="15"/>
      <c r="H84" s="15"/>
      <c r="I84" s="15"/>
      <c r="J84" s="15"/>
      <c r="K84" s="15"/>
      <c r="L84" s="15"/>
      <c r="M84" s="15"/>
      <c r="N84" s="15"/>
      <c r="O84" s="15"/>
      <c r="P84" s="15"/>
      <c r="Q84" s="15"/>
      <c r="R84" s="15"/>
      <c r="S84" s="15"/>
      <c r="T84" s="15"/>
      <c r="U84" s="15"/>
      <c r="V84" s="24">
        <f t="shared" si="11"/>
        <v>0</v>
      </c>
    </row>
    <row r="85" ht="15.75" customHeight="1">
      <c r="A85" s="23" t="str">
        <f t="shared" si="10"/>
        <v>Cecil Watson</v>
      </c>
      <c r="B85" s="15"/>
      <c r="C85" s="15"/>
      <c r="D85" s="15"/>
      <c r="E85" s="15"/>
      <c r="F85" s="15"/>
      <c r="G85" s="15"/>
      <c r="H85" s="15"/>
      <c r="I85" s="15"/>
      <c r="J85" s="15"/>
      <c r="K85" s="15"/>
      <c r="L85" s="15"/>
      <c r="M85" s="15"/>
      <c r="N85" s="15"/>
      <c r="O85" s="15"/>
      <c r="P85" s="15"/>
      <c r="Q85" s="15"/>
      <c r="R85" s="15"/>
      <c r="S85" s="15"/>
      <c r="T85" s="15"/>
      <c r="U85" s="15"/>
      <c r="V85" s="24">
        <f t="shared" si="11"/>
        <v>0</v>
      </c>
    </row>
    <row r="86" ht="15.75" customHeight="1">
      <c r="A86" s="23" t="str">
        <f t="shared" si="10"/>
        <v>Conall Templeman</v>
      </c>
      <c r="B86" s="15"/>
      <c r="C86" s="15"/>
      <c r="D86" s="15"/>
      <c r="E86" s="15"/>
      <c r="F86" s="15"/>
      <c r="G86" s="15"/>
      <c r="H86" s="15"/>
      <c r="I86" s="15"/>
      <c r="J86" s="15"/>
      <c r="K86" s="15"/>
      <c r="L86" s="15"/>
      <c r="M86" s="15"/>
      <c r="N86" s="15"/>
      <c r="O86" s="15"/>
      <c r="P86" s="15"/>
      <c r="Q86" s="15"/>
      <c r="R86" s="15"/>
      <c r="S86" s="15"/>
      <c r="T86" s="15"/>
      <c r="U86" s="15"/>
      <c r="V86" s="24">
        <f t="shared" si="11"/>
        <v>0</v>
      </c>
    </row>
    <row r="87" ht="15.75" customHeight="1">
      <c r="A87" s="23" t="str">
        <f t="shared" si="10"/>
        <v>Eddie Ringer</v>
      </c>
      <c r="B87" s="15"/>
      <c r="C87" s="15"/>
      <c r="D87" s="15"/>
      <c r="E87" s="15"/>
      <c r="F87" s="15"/>
      <c r="G87" s="15"/>
      <c r="H87" s="15"/>
      <c r="I87" s="15"/>
      <c r="J87" s="15"/>
      <c r="K87" s="15"/>
      <c r="L87" s="15"/>
      <c r="M87" s="15"/>
      <c r="N87" s="15"/>
      <c r="O87" s="15"/>
      <c r="P87" s="15"/>
      <c r="Q87" s="15"/>
      <c r="R87" s="15"/>
      <c r="S87" s="15"/>
      <c r="T87" s="15"/>
      <c r="U87" s="15"/>
      <c r="V87" s="24">
        <f t="shared" si="11"/>
        <v>0</v>
      </c>
    </row>
    <row r="88" ht="15.75" customHeight="1">
      <c r="A88" s="23" t="str">
        <f t="shared" si="10"/>
        <v>Finn Cawley</v>
      </c>
      <c r="B88" s="15"/>
      <c r="C88" s="15"/>
      <c r="D88" s="15"/>
      <c r="E88" s="15"/>
      <c r="F88" s="15"/>
      <c r="G88" s="15"/>
      <c r="H88" s="15"/>
      <c r="I88" s="15"/>
      <c r="J88" s="15"/>
      <c r="K88" s="15"/>
      <c r="L88" s="15"/>
      <c r="M88" s="15"/>
      <c r="N88" s="15"/>
      <c r="O88" s="15"/>
      <c r="P88" s="15"/>
      <c r="Q88" s="15"/>
      <c r="R88" s="15"/>
      <c r="S88" s="15"/>
      <c r="T88" s="15"/>
      <c r="U88" s="15"/>
      <c r="V88" s="24">
        <f t="shared" si="11"/>
        <v>0</v>
      </c>
    </row>
    <row r="89" ht="15.75" customHeight="1">
      <c r="A89" s="23" t="str">
        <f t="shared" si="10"/>
        <v>George Barbantan</v>
      </c>
      <c r="B89" s="15"/>
      <c r="C89" s="15"/>
      <c r="D89" s="15"/>
      <c r="E89" s="15"/>
      <c r="F89" s="15"/>
      <c r="G89" s="15"/>
      <c r="H89" s="15"/>
      <c r="I89" s="15"/>
      <c r="J89" s="15"/>
      <c r="K89" s="15"/>
      <c r="L89" s="15"/>
      <c r="M89" s="15"/>
      <c r="N89" s="15"/>
      <c r="O89" s="15"/>
      <c r="P89" s="15"/>
      <c r="Q89" s="15"/>
      <c r="R89" s="15"/>
      <c r="S89" s="15"/>
      <c r="T89" s="15"/>
      <c r="U89" s="15"/>
      <c r="V89" s="24">
        <f t="shared" si="11"/>
        <v>0</v>
      </c>
    </row>
    <row r="90" ht="15.75" customHeight="1">
      <c r="A90" s="23" t="str">
        <f t="shared" si="10"/>
        <v>Henry Linklater</v>
      </c>
      <c r="B90" s="15"/>
      <c r="C90" s="15"/>
      <c r="D90" s="15"/>
      <c r="E90" s="15"/>
      <c r="F90" s="15"/>
      <c r="G90" s="15"/>
      <c r="H90" s="15"/>
      <c r="I90" s="15"/>
      <c r="J90" s="15"/>
      <c r="K90" s="15"/>
      <c r="L90" s="15"/>
      <c r="M90" s="15"/>
      <c r="N90" s="15"/>
      <c r="O90" s="15"/>
      <c r="P90" s="15"/>
      <c r="Q90" s="15"/>
      <c r="R90" s="15"/>
      <c r="S90" s="15"/>
      <c r="T90" s="15"/>
      <c r="U90" s="15"/>
      <c r="V90" s="24">
        <f t="shared" si="11"/>
        <v>0</v>
      </c>
    </row>
    <row r="91" ht="15.75" customHeight="1">
      <c r="A91" s="23" t="str">
        <f t="shared" si="10"/>
        <v>Isaac Mond</v>
      </c>
      <c r="B91" s="15"/>
      <c r="C91" s="15"/>
      <c r="D91" s="15"/>
      <c r="E91" s="15"/>
      <c r="F91" s="15"/>
      <c r="G91" s="15"/>
      <c r="H91" s="15"/>
      <c r="I91" s="15"/>
      <c r="J91" s="15"/>
      <c r="K91" s="15"/>
      <c r="L91" s="15"/>
      <c r="M91" s="15"/>
      <c r="N91" s="15"/>
      <c r="O91" s="15"/>
      <c r="P91" s="15"/>
      <c r="Q91" s="15"/>
      <c r="R91" s="15"/>
      <c r="S91" s="15"/>
      <c r="T91" s="15"/>
      <c r="U91" s="15"/>
      <c r="V91" s="24">
        <f t="shared" si="11"/>
        <v>0</v>
      </c>
    </row>
    <row r="92" ht="15.75" customHeight="1">
      <c r="A92" s="23" t="str">
        <f t="shared" si="10"/>
        <v>Jake Harrison</v>
      </c>
      <c r="B92" s="15"/>
      <c r="C92" s="15"/>
      <c r="D92" s="15"/>
      <c r="E92" s="15"/>
      <c r="F92" s="15"/>
      <c r="G92" s="15"/>
      <c r="H92" s="15"/>
      <c r="I92" s="15"/>
      <c r="J92" s="15"/>
      <c r="K92" s="15"/>
      <c r="L92" s="15"/>
      <c r="M92" s="15"/>
      <c r="N92" s="15"/>
      <c r="O92" s="15"/>
      <c r="P92" s="15"/>
      <c r="Q92" s="15"/>
      <c r="R92" s="15"/>
      <c r="S92" s="15"/>
      <c r="T92" s="15"/>
      <c r="U92" s="15"/>
      <c r="V92" s="24">
        <f t="shared" si="11"/>
        <v>0</v>
      </c>
    </row>
    <row r="93" ht="15.75" customHeight="1">
      <c r="A93" s="23" t="str">
        <f t="shared" si="10"/>
        <v>Jake Ringer</v>
      </c>
      <c r="B93" s="15"/>
      <c r="C93" s="15"/>
      <c r="D93" s="15"/>
      <c r="E93" s="15"/>
      <c r="F93" s="15"/>
      <c r="G93" s="15"/>
      <c r="H93" s="15"/>
      <c r="I93" s="15"/>
      <c r="J93" s="15"/>
      <c r="K93" s="15"/>
      <c r="L93" s="15"/>
      <c r="M93" s="15"/>
      <c r="N93" s="15"/>
      <c r="O93" s="15"/>
      <c r="P93" s="15"/>
      <c r="Q93" s="15"/>
      <c r="R93" s="15"/>
      <c r="S93" s="15"/>
      <c r="T93" s="15"/>
      <c r="U93" s="15"/>
      <c r="V93" s="24">
        <f t="shared" si="11"/>
        <v>0</v>
      </c>
    </row>
    <row r="94" ht="15.75" customHeight="1">
      <c r="A94" s="23" t="str">
        <f t="shared" si="10"/>
        <v>Keshav Singh</v>
      </c>
      <c r="B94" s="15"/>
      <c r="C94" s="15"/>
      <c r="D94" s="15"/>
      <c r="E94" s="15"/>
      <c r="F94" s="15"/>
      <c r="G94" s="15"/>
      <c r="H94" s="15"/>
      <c r="I94" s="15"/>
      <c r="J94" s="15"/>
      <c r="K94" s="15"/>
      <c r="L94" s="15"/>
      <c r="M94" s="15"/>
      <c r="N94" s="15"/>
      <c r="O94" s="15"/>
      <c r="P94" s="15"/>
      <c r="Q94" s="15"/>
      <c r="R94" s="15"/>
      <c r="S94" s="15"/>
      <c r="T94" s="15"/>
      <c r="U94" s="15"/>
      <c r="V94" s="24">
        <f t="shared" si="11"/>
        <v>0</v>
      </c>
    </row>
    <row r="95" ht="15.75" customHeight="1">
      <c r="A95" s="23" t="str">
        <f t="shared" si="10"/>
        <v>Mark Pellowe</v>
      </c>
      <c r="B95" s="15"/>
      <c r="C95" s="15"/>
      <c r="D95" s="15"/>
      <c r="E95" s="15"/>
      <c r="F95" s="15"/>
      <c r="G95" s="15"/>
      <c r="H95" s="15"/>
      <c r="I95" s="15"/>
      <c r="J95" s="15"/>
      <c r="K95" s="15"/>
      <c r="L95" s="15"/>
      <c r="M95" s="15"/>
      <c r="N95" s="15"/>
      <c r="O95" s="15"/>
      <c r="P95" s="15"/>
      <c r="Q95" s="15"/>
      <c r="R95" s="15"/>
      <c r="S95" s="15"/>
      <c r="T95" s="15"/>
      <c r="U95" s="15"/>
      <c r="V95" s="24">
        <f t="shared" si="11"/>
        <v>0</v>
      </c>
    </row>
    <row r="96" ht="15.75" customHeight="1">
      <c r="A96" s="23" t="str">
        <f t="shared" si="10"/>
        <v>Max Cobain</v>
      </c>
      <c r="B96" s="15"/>
      <c r="C96" s="15"/>
      <c r="D96" s="15"/>
      <c r="E96" s="15"/>
      <c r="F96" s="15"/>
      <c r="G96" s="15"/>
      <c r="H96" s="15"/>
      <c r="I96" s="15"/>
      <c r="J96" s="15"/>
      <c r="K96" s="15"/>
      <c r="L96" s="15"/>
      <c r="M96" s="15"/>
      <c r="N96" s="15"/>
      <c r="O96" s="15"/>
      <c r="P96" s="15"/>
      <c r="Q96" s="15"/>
      <c r="R96" s="15"/>
      <c r="S96" s="15"/>
      <c r="T96" s="15"/>
      <c r="U96" s="15"/>
      <c r="V96" s="24">
        <f t="shared" si="11"/>
        <v>0</v>
      </c>
    </row>
    <row r="97" ht="15.75" customHeight="1">
      <c r="A97" s="23" t="str">
        <f t="shared" si="10"/>
        <v>Neeraj Radia</v>
      </c>
      <c r="B97" s="15"/>
      <c r="C97" s="15"/>
      <c r="D97" s="15"/>
      <c r="E97" s="15"/>
      <c r="F97" s="15"/>
      <c r="G97" s="15"/>
      <c r="H97" s="15"/>
      <c r="I97" s="15"/>
      <c r="J97" s="15"/>
      <c r="K97" s="15"/>
      <c r="L97" s="15"/>
      <c r="M97" s="15"/>
      <c r="N97" s="15"/>
      <c r="O97" s="15"/>
      <c r="P97" s="15"/>
      <c r="Q97" s="15"/>
      <c r="R97" s="15"/>
      <c r="S97" s="15"/>
      <c r="T97" s="15"/>
      <c r="U97" s="15"/>
      <c r="V97" s="24">
        <f t="shared" si="11"/>
        <v>0</v>
      </c>
    </row>
    <row r="98" ht="15.75" customHeight="1">
      <c r="A98" s="23" t="str">
        <f t="shared" si="10"/>
        <v>Phil Knott</v>
      </c>
      <c r="B98" s="15"/>
      <c r="C98" s="15"/>
      <c r="D98" s="15"/>
      <c r="E98" s="15"/>
      <c r="F98" s="15"/>
      <c r="G98" s="15"/>
      <c r="H98" s="15"/>
      <c r="I98" s="15"/>
      <c r="J98" s="15"/>
      <c r="K98" s="15"/>
      <c r="L98" s="15"/>
      <c r="M98" s="15"/>
      <c r="N98" s="15"/>
      <c r="O98" s="15"/>
      <c r="P98" s="15"/>
      <c r="Q98" s="15"/>
      <c r="R98" s="15"/>
      <c r="S98" s="15"/>
      <c r="T98" s="15"/>
      <c r="U98" s="15"/>
      <c r="V98" s="24">
        <f t="shared" si="11"/>
        <v>0</v>
      </c>
    </row>
    <row r="99" ht="15.75" customHeight="1">
      <c r="A99" s="23" t="str">
        <f t="shared" si="10"/>
        <v>Robin</v>
      </c>
      <c r="B99" s="15"/>
      <c r="C99" s="15"/>
      <c r="D99" s="15"/>
      <c r="E99" s="15"/>
      <c r="F99" s="15"/>
      <c r="G99" s="15"/>
      <c r="H99" s="15"/>
      <c r="I99" s="15"/>
      <c r="J99" s="15"/>
      <c r="K99" s="15"/>
      <c r="L99" s="15"/>
      <c r="M99" s="15"/>
      <c r="N99" s="15"/>
      <c r="O99" s="15"/>
      <c r="P99" s="15"/>
      <c r="Q99" s="15"/>
      <c r="R99" s="15"/>
      <c r="S99" s="15"/>
      <c r="T99" s="15"/>
      <c r="U99" s="15"/>
      <c r="V99" s="24">
        <f t="shared" si="11"/>
        <v>0</v>
      </c>
    </row>
    <row r="100" ht="15.75" customHeight="1">
      <c r="A100" s="23" t="str">
        <f t="shared" si="10"/>
        <v>Sam Holt</v>
      </c>
      <c r="B100" s="15"/>
      <c r="C100" s="15"/>
      <c r="D100" s="15"/>
      <c r="E100" s="15"/>
      <c r="F100" s="15"/>
      <c r="G100" s="15"/>
      <c r="H100" s="15"/>
      <c r="I100" s="15"/>
      <c r="J100" s="15"/>
      <c r="K100" s="15"/>
      <c r="L100" s="15"/>
      <c r="M100" s="15"/>
      <c r="N100" s="15"/>
      <c r="O100" s="15"/>
      <c r="P100" s="15"/>
      <c r="Q100" s="15"/>
      <c r="R100" s="15"/>
      <c r="S100" s="15"/>
      <c r="T100" s="15"/>
      <c r="U100" s="15"/>
      <c r="V100" s="24">
        <f t="shared" si="11"/>
        <v>0</v>
      </c>
    </row>
    <row r="101" ht="15.75" customHeight="1">
      <c r="A101" s="23" t="str">
        <f t="shared" si="10"/>
        <v>Seb Burgess</v>
      </c>
      <c r="B101" s="15"/>
      <c r="C101" s="15"/>
      <c r="D101" s="15"/>
      <c r="E101" s="15"/>
      <c r="F101" s="15"/>
      <c r="G101" s="15"/>
      <c r="H101" s="15"/>
      <c r="I101" s="15"/>
      <c r="J101" s="15"/>
      <c r="K101" s="15"/>
      <c r="L101" s="15"/>
      <c r="M101" s="15"/>
      <c r="N101" s="15"/>
      <c r="O101" s="15"/>
      <c r="P101" s="15"/>
      <c r="Q101" s="15"/>
      <c r="R101" s="15"/>
      <c r="S101" s="15"/>
      <c r="T101" s="15"/>
      <c r="U101" s="15"/>
      <c r="V101" s="24">
        <f t="shared" si="11"/>
        <v>0</v>
      </c>
    </row>
    <row r="102" ht="15.75" customHeight="1">
      <c r="A102" s="23" t="str">
        <f t="shared" si="10"/>
        <v/>
      </c>
      <c r="B102" s="15"/>
      <c r="C102" s="15"/>
      <c r="D102" s="15"/>
      <c r="E102" s="15"/>
      <c r="F102" s="15"/>
      <c r="G102" s="15"/>
      <c r="H102" s="15"/>
      <c r="I102" s="15"/>
      <c r="J102" s="15"/>
      <c r="K102" s="15"/>
      <c r="L102" s="15"/>
      <c r="M102" s="15"/>
      <c r="N102" s="15"/>
      <c r="O102" s="15"/>
      <c r="P102" s="15"/>
      <c r="Q102" s="15"/>
      <c r="R102" s="15"/>
      <c r="S102" s="15"/>
      <c r="T102" s="15"/>
      <c r="U102" s="15"/>
      <c r="V102" s="24">
        <f t="shared" si="11"/>
        <v>0</v>
      </c>
    </row>
    <row r="103" ht="15.75" customHeight="1">
      <c r="A103" s="23" t="str">
        <f t="shared" si="10"/>
        <v/>
      </c>
      <c r="B103" s="15"/>
      <c r="C103" s="15"/>
      <c r="D103" s="15"/>
      <c r="E103" s="15"/>
      <c r="F103" s="15"/>
      <c r="G103" s="15"/>
      <c r="H103" s="15"/>
      <c r="I103" s="15"/>
      <c r="J103" s="15"/>
      <c r="K103" s="15"/>
      <c r="L103" s="15"/>
      <c r="M103" s="15"/>
      <c r="N103" s="15"/>
      <c r="O103" s="15"/>
      <c r="P103" s="15"/>
      <c r="Q103" s="15"/>
      <c r="R103" s="15"/>
      <c r="S103" s="15"/>
      <c r="T103" s="15"/>
      <c r="U103" s="15"/>
      <c r="V103" s="24">
        <f t="shared" si="11"/>
        <v>0</v>
      </c>
    </row>
    <row r="104" ht="15.75" customHeight="1">
      <c r="A104" s="23" t="str">
        <f t="shared" si="10"/>
        <v/>
      </c>
      <c r="B104" s="15"/>
      <c r="C104" s="15"/>
      <c r="D104" s="15"/>
      <c r="E104" s="15"/>
      <c r="F104" s="15"/>
      <c r="G104" s="15"/>
      <c r="H104" s="15"/>
      <c r="I104" s="15"/>
      <c r="J104" s="15"/>
      <c r="K104" s="15"/>
      <c r="L104" s="15"/>
      <c r="M104" s="15"/>
      <c r="N104" s="15"/>
      <c r="O104" s="15"/>
      <c r="P104" s="15"/>
      <c r="Q104" s="15"/>
      <c r="R104" s="15"/>
      <c r="S104" s="15"/>
      <c r="T104" s="15"/>
      <c r="U104" s="15"/>
      <c r="V104" s="24">
        <f t="shared" si="11"/>
        <v>0</v>
      </c>
    </row>
    <row r="105" ht="15.75" customHeight="1">
      <c r="A105" s="23" t="str">
        <f t="shared" si="10"/>
        <v/>
      </c>
      <c r="B105" s="15"/>
      <c r="C105" s="15"/>
      <c r="D105" s="15"/>
      <c r="E105" s="15"/>
      <c r="F105" s="15"/>
      <c r="G105" s="15"/>
      <c r="H105" s="15"/>
      <c r="I105" s="15"/>
      <c r="J105" s="15"/>
      <c r="K105" s="15"/>
      <c r="L105" s="15"/>
      <c r="M105" s="15"/>
      <c r="N105" s="15"/>
      <c r="O105" s="15"/>
      <c r="P105" s="15"/>
      <c r="Q105" s="15"/>
      <c r="R105" s="15"/>
      <c r="S105" s="15"/>
      <c r="T105" s="15"/>
      <c r="U105" s="15"/>
      <c r="V105" s="24">
        <f t="shared" si="11"/>
        <v>0</v>
      </c>
    </row>
    <row r="106" ht="15.75" customHeight="1">
      <c r="A106" s="23" t="str">
        <f t="shared" si="10"/>
        <v/>
      </c>
      <c r="B106" s="15"/>
      <c r="C106" s="15"/>
      <c r="D106" s="15"/>
      <c r="E106" s="15"/>
      <c r="F106" s="15"/>
      <c r="G106" s="15"/>
      <c r="H106" s="15"/>
      <c r="I106" s="15"/>
      <c r="J106" s="15"/>
      <c r="K106" s="15"/>
      <c r="L106" s="15"/>
      <c r="M106" s="15"/>
      <c r="N106" s="15"/>
      <c r="O106" s="15"/>
      <c r="P106" s="15"/>
      <c r="Q106" s="15"/>
      <c r="R106" s="15"/>
      <c r="S106" s="15"/>
      <c r="T106" s="15"/>
      <c r="U106" s="15"/>
      <c r="V106" s="24">
        <f t="shared" si="11"/>
        <v>0</v>
      </c>
    </row>
    <row r="107" ht="15.75" customHeight="1">
      <c r="A107" s="23" t="str">
        <f t="shared" si="10"/>
        <v/>
      </c>
      <c r="B107" s="15"/>
      <c r="C107" s="15"/>
      <c r="D107" s="15"/>
      <c r="E107" s="15"/>
      <c r="F107" s="15"/>
      <c r="G107" s="15"/>
      <c r="H107" s="15"/>
      <c r="I107" s="15"/>
      <c r="J107" s="15"/>
      <c r="K107" s="15"/>
      <c r="L107" s="15"/>
      <c r="M107" s="15"/>
      <c r="N107" s="15"/>
      <c r="O107" s="15"/>
      <c r="P107" s="15"/>
      <c r="Q107" s="15"/>
      <c r="R107" s="15"/>
      <c r="S107" s="15"/>
      <c r="T107" s="15"/>
      <c r="U107" s="15"/>
      <c r="V107" s="24">
        <f t="shared" si="11"/>
        <v>0</v>
      </c>
    </row>
    <row r="108" ht="15.75" customHeight="1">
      <c r="A108" s="7" t="s">
        <v>144</v>
      </c>
      <c r="V108" s="24">
        <f>SUM(V80:V107)</f>
        <v>0</v>
      </c>
    </row>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6.0"/>
    <col customWidth="1" min="2" max="25" width="12.0"/>
    <col customWidth="1" min="26" max="26" width="8.71"/>
  </cols>
  <sheetData>
    <row r="1">
      <c r="A1" s="4" t="s">
        <v>183</v>
      </c>
      <c r="B1" s="28" t="s">
        <v>184</v>
      </c>
      <c r="C1" s="5"/>
      <c r="D1" s="28" t="s">
        <v>185</v>
      </c>
      <c r="E1" s="5"/>
      <c r="F1" s="28" t="s">
        <v>186</v>
      </c>
      <c r="G1" s="5"/>
      <c r="H1" s="28" t="s">
        <v>187</v>
      </c>
      <c r="I1" s="5"/>
      <c r="J1" s="28" t="s">
        <v>188</v>
      </c>
      <c r="K1" s="5"/>
      <c r="L1" s="28" t="s">
        <v>189</v>
      </c>
      <c r="M1" s="5"/>
      <c r="N1" s="28" t="s">
        <v>190</v>
      </c>
      <c r="O1" s="5"/>
      <c r="P1" s="28" t="s">
        <v>191</v>
      </c>
      <c r="Q1" s="5"/>
      <c r="R1" s="28" t="s">
        <v>192</v>
      </c>
      <c r="S1" s="5"/>
      <c r="T1" s="28" t="s">
        <v>193</v>
      </c>
      <c r="U1" s="5"/>
      <c r="V1" s="29" t="s">
        <v>194</v>
      </c>
      <c r="W1" s="5"/>
    </row>
    <row r="2">
      <c r="A2" s="30" t="s">
        <v>195</v>
      </c>
      <c r="B2" s="6" t="s">
        <v>130</v>
      </c>
      <c r="C2" s="6" t="s">
        <v>147</v>
      </c>
      <c r="D2" s="6" t="s">
        <v>130</v>
      </c>
      <c r="E2" s="6" t="s">
        <v>147</v>
      </c>
      <c r="F2" s="6" t="s">
        <v>130</v>
      </c>
      <c r="G2" s="6" t="s">
        <v>147</v>
      </c>
      <c r="H2" s="6" t="s">
        <v>130</v>
      </c>
      <c r="I2" s="6" t="s">
        <v>147</v>
      </c>
      <c r="J2" s="6" t="s">
        <v>130</v>
      </c>
      <c r="K2" s="6" t="s">
        <v>147</v>
      </c>
      <c r="L2" s="6" t="s">
        <v>130</v>
      </c>
      <c r="M2" s="6" t="s">
        <v>147</v>
      </c>
      <c r="N2" s="6" t="s">
        <v>130</v>
      </c>
      <c r="O2" s="6" t="s">
        <v>147</v>
      </c>
      <c r="P2" s="6" t="s">
        <v>130</v>
      </c>
      <c r="Q2" s="6" t="s">
        <v>147</v>
      </c>
      <c r="R2" s="6" t="s">
        <v>130</v>
      </c>
      <c r="S2" s="6" t="s">
        <v>147</v>
      </c>
      <c r="T2" s="6" t="s">
        <v>130</v>
      </c>
      <c r="U2" s="6" t="s">
        <v>147</v>
      </c>
      <c r="V2" s="6" t="s">
        <v>130</v>
      </c>
      <c r="W2" s="6" t="s">
        <v>147</v>
      </c>
      <c r="X2" s="6" t="s">
        <v>196</v>
      </c>
      <c r="Y2" s="6" t="s">
        <v>149</v>
      </c>
    </row>
    <row r="3">
      <c r="A3" s="23" t="s">
        <v>132</v>
      </c>
      <c r="B3" s="15">
        <f t="shared" ref="B3:B30" si="2">IFERROR(INDEX(INDIRECT("'"&amp;B$1&amp;"'!$V$18:$V$45"),MATCH($A3,INDIRECT("'"&amp;B$1&amp;"'!$A$18:$A$45"),0)),0)</f>
        <v>0</v>
      </c>
      <c r="C3" s="15">
        <f t="shared" ref="C3:C30" si="3">IFERROR(INDEX(INDIRECT("'"&amp;B$1&amp;"'!$V$49:$V$76"),MATCH($A3,INDIRECT("'"&amp;B$1&amp;"'!$A$49:$A$76"),0)),0)</f>
        <v>0</v>
      </c>
      <c r="D3" s="15">
        <f t="shared" ref="D3:D30" si="4">IFERROR(INDEX(INDIRECT("'"&amp;D$1&amp;"'!$V$18:$V$45"),MATCH($A3,INDIRECT("'"&amp;D$1&amp;"'!$A$18:$A$45"),0)),0)</f>
        <v>0</v>
      </c>
      <c r="E3" s="15">
        <f t="shared" ref="E3:E30" si="5">IFERROR(INDEX(INDIRECT("'"&amp;D$1&amp;"'!$V$49:$V$76"),MATCH($A3,INDIRECT("'"&amp;D$1&amp;"'!$A$49:$A$76"),0)),0)</f>
        <v>0</v>
      </c>
      <c r="F3" s="15">
        <f t="shared" ref="F3:F30" si="6">IFERROR(INDEX(INDIRECT("'"&amp;F$1&amp;"'!$V$18:$V$45"),MATCH($A3,INDIRECT("'"&amp;F$1&amp;"'!$A$18:$A$45"),0)),0)</f>
        <v>0</v>
      </c>
      <c r="G3" s="15">
        <f t="shared" ref="G3:G30" si="7">IFERROR(INDEX(INDIRECT("'"&amp;F$1&amp;"'!$V$49:$V$76"),MATCH($A3,INDIRECT("'"&amp;F$1&amp;"'!$A$49:$A$76"),0)),0)</f>
        <v>0</v>
      </c>
      <c r="H3" s="15">
        <f t="shared" ref="H3:H30" si="8">IFERROR(INDEX(INDIRECT("'"&amp;H$1&amp;"'!$V$18:$V$45"),MATCH($A3,INDIRECT("'"&amp;H$1&amp;"'!$A$18:$A$45"),0)),0)</f>
        <v>0</v>
      </c>
      <c r="I3" s="15">
        <f t="shared" ref="I3:I30" si="9">IFERROR(INDEX(INDIRECT("'"&amp;H$1&amp;"'!$V$49:$V$76"),MATCH($A3,INDIRECT("'"&amp;H$1&amp;"'!$A$49:$A$76"),0)),0)</f>
        <v>0</v>
      </c>
      <c r="J3" s="15">
        <f t="shared" ref="J3:J30" si="10">IFERROR(INDEX(INDIRECT("'"&amp;J$1&amp;"'!$V$18:$V$45"),MATCH($A3,INDIRECT("'"&amp;J$1&amp;"'!$A$18:$A$45"),0)),0)</f>
        <v>0</v>
      </c>
      <c r="K3" s="15">
        <f t="shared" ref="K3:K30" si="11">IFERROR(INDEX(INDIRECT("'"&amp;J$1&amp;"'!$V$49:$V$76"),MATCH($A3,INDIRECT("'"&amp;J$1&amp;"'!$A$49:$A$76"),0)),0)</f>
        <v>0</v>
      </c>
      <c r="L3" s="15">
        <f t="shared" ref="L3:L30" si="12">IFERROR(INDEX(INDIRECT("'"&amp;L$1&amp;"'!$V$18:$V$45"),MATCH($A3,INDIRECT("'"&amp;L$1&amp;"'!$A$18:$A$45"),0)),0)</f>
        <v>0</v>
      </c>
      <c r="M3" s="15">
        <f t="shared" ref="M3:M30" si="13">IFERROR(INDEX(INDIRECT("'"&amp;L$1&amp;"'!$V$49:$V$76"),MATCH($A3,INDIRECT("'"&amp;L$1&amp;"'!$A$49:$A$76"),0)),0)</f>
        <v>0</v>
      </c>
      <c r="N3" s="15">
        <f t="shared" ref="N3:N30" si="14">IFERROR(INDEX(INDIRECT("'"&amp;N$1&amp;"'!$V$18:$V$45"),MATCH($A3,INDIRECT("'"&amp;N$1&amp;"'!$A$18:$A$45"),0)),0)</f>
        <v>3</v>
      </c>
      <c r="O3" s="15">
        <f t="shared" ref="O3:O30" si="15">IFERROR(INDEX(INDIRECT("'"&amp;N$1&amp;"'!$V$49:$V$76"),MATCH($A3,INDIRECT("'"&amp;N$1&amp;"'!$A$49:$A$76"),0)),0)</f>
        <v>5</v>
      </c>
      <c r="P3" s="15">
        <f t="shared" ref="P3:P30" si="16">IFERROR(INDEX(INDIRECT("'"&amp;P$1&amp;"'!$V$18:$V$45"),MATCH($A3,INDIRECT("'"&amp;P$1&amp;"'!$A$18:$A$45"),0)),0)</f>
        <v>0</v>
      </c>
      <c r="Q3" s="15">
        <f t="shared" ref="Q3:Q30" si="17">IFERROR(INDEX(INDIRECT("'"&amp;P$1&amp;"'!$V$49:$V$76"),MATCH($A3,INDIRECT("'"&amp;P$1&amp;"'!$A$49:$A$76"),0)),0)</f>
        <v>0</v>
      </c>
      <c r="R3" s="15">
        <f t="shared" ref="R3:R30" si="18">IFERROR(INDEX(INDIRECT("'"&amp;R$1&amp;"'!$V$18:$V$45"),MATCH($A3,INDIRECT("'"&amp;R$1&amp;"'!$A$18:$A$45"),0)),0)</f>
        <v>0</v>
      </c>
      <c r="S3" s="15">
        <f t="shared" ref="S3:S30" si="19">IFERROR(INDEX(INDIRECT("'"&amp;R$1&amp;"'!$V$49:$V$76"),MATCH($A3,INDIRECT("'"&amp;R$1&amp;"'!$A$49:$A$76"),0)),0)</f>
        <v>0</v>
      </c>
      <c r="T3" s="15">
        <f t="shared" ref="T3:T30" si="20">IFERROR(INDEX(INDIRECT("'"&amp;T$1&amp;"'!$V$18:$V$45"),MATCH($A3,INDIRECT("'"&amp;T$1&amp;"'!$A$18:$A$45"),0)),0)</f>
        <v>0</v>
      </c>
      <c r="U3" s="15">
        <f t="shared" ref="U3:U30" si="21">IFERROR(INDEX(INDIRECT("'"&amp;T$1&amp;"'!$V$49:$V$76"),MATCH($A3,INDIRECT("'"&amp;T$1&amp;"'!$A$49:$A$76"),0)),0)</f>
        <v>0</v>
      </c>
      <c r="V3" s="24">
        <f t="shared" ref="V3:W3" si="1">B3+D3+F3+H3+J3+L3+N3+P3+R3+T3</f>
        <v>3</v>
      </c>
      <c r="W3" s="24">
        <f t="shared" si="1"/>
        <v>5</v>
      </c>
      <c r="X3" s="14">
        <f t="shared" ref="X3:X30" si="23">IF(V3=0,"—",ROUND(W3/V3,2))</f>
        <v>1.67</v>
      </c>
      <c r="Y3" s="14">
        <f t="shared" ref="Y3:Y30" si="24">IFERROR(INDEX(INDIRECT("'"&amp;B$1&amp;"'!$V$80:$V$107"),MATCH($A3,INDIRECT("'"&amp;B$1&amp;"'!$A$80:$A$107"),0)),0)+IFERROR(INDEX(INDIRECT("'"&amp;D$1&amp;"'!$V$80:$V$107"),MATCH($A3,INDIRECT("'"&amp;D$1&amp;"'!$A$80:$A$107"),0)),0)+IFERROR(INDEX(INDIRECT("'"&amp;F$1&amp;"'!$V$80:$V$107"),MATCH($A3,INDIRECT("'"&amp;F$1&amp;"'!$A$80:$A$107"),0)),0)+IFERROR(INDEX(INDIRECT("'"&amp;H$1&amp;"'!$V$80:$V$107"),MATCH($A3,INDIRECT("'"&amp;H$1&amp;"'!$A$80:$A$107"),0)),0)+IFERROR(INDEX(INDIRECT("'"&amp;J$1&amp;"'!$V$80:$V$107"),MATCH($A3,INDIRECT("'"&amp;J$1&amp;"'!$A$80:$A$107"),0)),0)+IFERROR(INDEX(INDIRECT("'"&amp;L$1&amp;"'!$V$80:$V$107"),MATCH($A3,INDIRECT("'"&amp;L$1&amp;"'!$A$80:$A$107"),0)),0)+IFERROR(INDEX(INDIRECT("'"&amp;N$1&amp;"'!$V$80:$V$107"),MATCH($A3,INDIRECT("'"&amp;N$1&amp;"'!$A$80:$A$107"),0)),0)+IFERROR(INDEX(INDIRECT("'"&amp;P$1&amp;"'!$V$80:$V$107"),MATCH($A3,INDIRECT("'"&amp;P$1&amp;"'!$A$80:$A$107"),0)),0)+IFERROR(INDEX(INDIRECT("'"&amp;R$1&amp;"'!$V$80:$V$107"),MATCH($A3,INDIRECT("'"&amp;R$1&amp;"'!$A$80:$A$107"),0)),0)+IFERROR(INDEX(INDIRECT("'"&amp;T$1&amp;"'!$V$80:$V$107"),MATCH($A3,INDIRECT("'"&amp;T$1&amp;"'!$A$80:$A$107"),0)),0)</f>
        <v>0</v>
      </c>
    </row>
    <row r="4">
      <c r="A4" s="23" t="s">
        <v>133</v>
      </c>
      <c r="B4" s="15">
        <f t="shared" si="2"/>
        <v>0</v>
      </c>
      <c r="C4" s="15">
        <f t="shared" si="3"/>
        <v>0</v>
      </c>
      <c r="D4" s="15">
        <f t="shared" si="4"/>
        <v>1</v>
      </c>
      <c r="E4" s="15">
        <f t="shared" si="5"/>
        <v>0</v>
      </c>
      <c r="F4" s="15">
        <f t="shared" si="6"/>
        <v>2</v>
      </c>
      <c r="G4" s="15">
        <f t="shared" si="7"/>
        <v>0</v>
      </c>
      <c r="H4" s="15">
        <f t="shared" si="8"/>
        <v>1</v>
      </c>
      <c r="I4" s="15">
        <f t="shared" si="9"/>
        <v>0</v>
      </c>
      <c r="J4" s="15">
        <f t="shared" si="10"/>
        <v>1</v>
      </c>
      <c r="K4" s="15">
        <f t="shared" si="11"/>
        <v>0</v>
      </c>
      <c r="L4" s="15">
        <f t="shared" si="12"/>
        <v>0</v>
      </c>
      <c r="M4" s="15">
        <f t="shared" si="13"/>
        <v>0</v>
      </c>
      <c r="N4" s="15">
        <f t="shared" si="14"/>
        <v>0</v>
      </c>
      <c r="O4" s="15">
        <f t="shared" si="15"/>
        <v>0</v>
      </c>
      <c r="P4" s="15">
        <f t="shared" si="16"/>
        <v>0</v>
      </c>
      <c r="Q4" s="15">
        <f t="shared" si="17"/>
        <v>0</v>
      </c>
      <c r="R4" s="15">
        <f t="shared" si="18"/>
        <v>0</v>
      </c>
      <c r="S4" s="15">
        <f t="shared" si="19"/>
        <v>0</v>
      </c>
      <c r="T4" s="15">
        <f t="shared" si="20"/>
        <v>0</v>
      </c>
      <c r="U4" s="15">
        <f t="shared" si="21"/>
        <v>0</v>
      </c>
      <c r="V4" s="24">
        <f t="shared" ref="V4:W4" si="22">B4+D4+F4+H4+J4+L4+N4+P4+R4+T4</f>
        <v>5</v>
      </c>
      <c r="W4" s="24">
        <f t="shared" si="22"/>
        <v>0</v>
      </c>
      <c r="X4" s="14">
        <f t="shared" si="23"/>
        <v>0</v>
      </c>
      <c r="Y4" s="14">
        <f t="shared" si="24"/>
        <v>0</v>
      </c>
    </row>
    <row r="5">
      <c r="A5" s="23" t="s">
        <v>103</v>
      </c>
      <c r="B5" s="15">
        <f t="shared" si="2"/>
        <v>3</v>
      </c>
      <c r="C5" s="15">
        <f t="shared" si="3"/>
        <v>1</v>
      </c>
      <c r="D5" s="15">
        <f t="shared" si="4"/>
        <v>6</v>
      </c>
      <c r="E5" s="15">
        <f t="shared" si="5"/>
        <v>0</v>
      </c>
      <c r="F5" s="15">
        <f t="shared" si="6"/>
        <v>10</v>
      </c>
      <c r="G5" s="15">
        <f t="shared" si="7"/>
        <v>1</v>
      </c>
      <c r="H5" s="15">
        <f t="shared" si="8"/>
        <v>9</v>
      </c>
      <c r="I5" s="15">
        <f t="shared" si="9"/>
        <v>2</v>
      </c>
      <c r="J5" s="15">
        <f t="shared" si="10"/>
        <v>8</v>
      </c>
      <c r="K5" s="15">
        <f t="shared" si="11"/>
        <v>1</v>
      </c>
      <c r="L5" s="15">
        <f t="shared" si="12"/>
        <v>0</v>
      </c>
      <c r="M5" s="15">
        <f t="shared" si="13"/>
        <v>0</v>
      </c>
      <c r="N5" s="15">
        <f t="shared" si="14"/>
        <v>0</v>
      </c>
      <c r="O5" s="15">
        <f t="shared" si="15"/>
        <v>0</v>
      </c>
      <c r="P5" s="15">
        <f t="shared" si="16"/>
        <v>0</v>
      </c>
      <c r="Q5" s="15">
        <f t="shared" si="17"/>
        <v>0</v>
      </c>
      <c r="R5" s="15">
        <f t="shared" si="18"/>
        <v>0</v>
      </c>
      <c r="S5" s="15">
        <f t="shared" si="19"/>
        <v>0</v>
      </c>
      <c r="T5" s="15">
        <f t="shared" si="20"/>
        <v>0</v>
      </c>
      <c r="U5" s="15">
        <f t="shared" si="21"/>
        <v>0</v>
      </c>
      <c r="V5" s="24">
        <f t="shared" ref="V5:W5" si="25">B5+D5+F5+H5+J5+L5+N5+P5+R5+T5</f>
        <v>36</v>
      </c>
      <c r="W5" s="24">
        <f t="shared" si="25"/>
        <v>5</v>
      </c>
      <c r="X5" s="14">
        <f t="shared" si="23"/>
        <v>0.14</v>
      </c>
      <c r="Y5" s="14">
        <f t="shared" si="24"/>
        <v>1</v>
      </c>
    </row>
    <row r="6">
      <c r="A6" s="23" t="s">
        <v>110</v>
      </c>
      <c r="B6" s="15">
        <f t="shared" si="2"/>
        <v>5</v>
      </c>
      <c r="C6" s="15">
        <f t="shared" si="3"/>
        <v>1</v>
      </c>
      <c r="D6" s="15">
        <f t="shared" si="4"/>
        <v>4</v>
      </c>
      <c r="E6" s="15">
        <f t="shared" si="5"/>
        <v>0</v>
      </c>
      <c r="F6" s="15">
        <f t="shared" si="6"/>
        <v>8</v>
      </c>
      <c r="G6" s="15">
        <f t="shared" si="7"/>
        <v>2</v>
      </c>
      <c r="H6" s="15">
        <f t="shared" si="8"/>
        <v>8</v>
      </c>
      <c r="I6" s="15">
        <f t="shared" si="9"/>
        <v>0</v>
      </c>
      <c r="J6" s="15">
        <f t="shared" si="10"/>
        <v>1</v>
      </c>
      <c r="K6" s="15">
        <f t="shared" si="11"/>
        <v>0</v>
      </c>
      <c r="L6" s="15">
        <f t="shared" si="12"/>
        <v>6</v>
      </c>
      <c r="M6" s="15">
        <f t="shared" si="13"/>
        <v>1</v>
      </c>
      <c r="N6" s="15">
        <f t="shared" si="14"/>
        <v>6</v>
      </c>
      <c r="O6" s="15">
        <f t="shared" si="15"/>
        <v>2</v>
      </c>
      <c r="P6" s="15">
        <f t="shared" si="16"/>
        <v>1</v>
      </c>
      <c r="Q6" s="15">
        <f t="shared" si="17"/>
        <v>0</v>
      </c>
      <c r="R6" s="15">
        <f t="shared" si="18"/>
        <v>0</v>
      </c>
      <c r="S6" s="15">
        <f t="shared" si="19"/>
        <v>0</v>
      </c>
      <c r="T6" s="15">
        <f t="shared" si="20"/>
        <v>0</v>
      </c>
      <c r="U6" s="15">
        <f t="shared" si="21"/>
        <v>0</v>
      </c>
      <c r="V6" s="24">
        <f t="shared" ref="V6:W6" si="26">B6+D6+F6+H6+J6+L6+N6+P6+R6+T6</f>
        <v>39</v>
      </c>
      <c r="W6" s="24">
        <f t="shared" si="26"/>
        <v>6</v>
      </c>
      <c r="X6" s="14">
        <f t="shared" si="23"/>
        <v>0.15</v>
      </c>
      <c r="Y6" s="14">
        <f t="shared" si="24"/>
        <v>2</v>
      </c>
    </row>
    <row r="7">
      <c r="A7" s="23" t="s">
        <v>100</v>
      </c>
      <c r="B7" s="15">
        <f t="shared" si="2"/>
        <v>3</v>
      </c>
      <c r="C7" s="15">
        <f t="shared" si="3"/>
        <v>2</v>
      </c>
      <c r="D7" s="15">
        <f t="shared" si="4"/>
        <v>2</v>
      </c>
      <c r="E7" s="15">
        <f t="shared" si="5"/>
        <v>0</v>
      </c>
      <c r="F7" s="15">
        <f t="shared" si="6"/>
        <v>7</v>
      </c>
      <c r="G7" s="15">
        <f t="shared" si="7"/>
        <v>2</v>
      </c>
      <c r="H7" s="15">
        <f t="shared" si="8"/>
        <v>6</v>
      </c>
      <c r="I7" s="15">
        <f t="shared" si="9"/>
        <v>2</v>
      </c>
      <c r="J7" s="15">
        <f t="shared" si="10"/>
        <v>0</v>
      </c>
      <c r="K7" s="15">
        <f t="shared" si="11"/>
        <v>0</v>
      </c>
      <c r="L7" s="15">
        <f t="shared" si="12"/>
        <v>0</v>
      </c>
      <c r="M7" s="15">
        <f t="shared" si="13"/>
        <v>0</v>
      </c>
      <c r="N7" s="15">
        <f t="shared" si="14"/>
        <v>0</v>
      </c>
      <c r="O7" s="15">
        <f t="shared" si="15"/>
        <v>0</v>
      </c>
      <c r="P7" s="15">
        <f t="shared" si="16"/>
        <v>0</v>
      </c>
      <c r="Q7" s="15">
        <f t="shared" si="17"/>
        <v>0</v>
      </c>
      <c r="R7" s="15">
        <f t="shared" si="18"/>
        <v>0</v>
      </c>
      <c r="S7" s="15">
        <f t="shared" si="19"/>
        <v>0</v>
      </c>
      <c r="T7" s="15">
        <f t="shared" si="20"/>
        <v>0</v>
      </c>
      <c r="U7" s="15">
        <f t="shared" si="21"/>
        <v>0</v>
      </c>
      <c r="V7" s="24">
        <f t="shared" ref="V7:W7" si="27">B7+D7+F7+H7+J7+L7+N7+P7+R7+T7</f>
        <v>18</v>
      </c>
      <c r="W7" s="24">
        <f t="shared" si="27"/>
        <v>6</v>
      </c>
      <c r="X7" s="14">
        <f t="shared" si="23"/>
        <v>0.33</v>
      </c>
      <c r="Y7" s="14">
        <f t="shared" si="24"/>
        <v>0</v>
      </c>
    </row>
    <row r="8">
      <c r="A8" s="23" t="s">
        <v>134</v>
      </c>
      <c r="B8" s="15">
        <f t="shared" si="2"/>
        <v>2</v>
      </c>
      <c r="C8" s="15">
        <f t="shared" si="3"/>
        <v>0</v>
      </c>
      <c r="D8" s="15">
        <f t="shared" si="4"/>
        <v>0</v>
      </c>
      <c r="E8" s="15">
        <f t="shared" si="5"/>
        <v>0</v>
      </c>
      <c r="F8" s="15">
        <f t="shared" si="6"/>
        <v>1</v>
      </c>
      <c r="G8" s="15">
        <f t="shared" si="7"/>
        <v>0</v>
      </c>
      <c r="H8" s="15">
        <f t="shared" si="8"/>
        <v>1</v>
      </c>
      <c r="I8" s="15">
        <f t="shared" si="9"/>
        <v>0</v>
      </c>
      <c r="J8" s="15">
        <f t="shared" si="10"/>
        <v>1</v>
      </c>
      <c r="K8" s="15">
        <f t="shared" si="11"/>
        <v>0</v>
      </c>
      <c r="L8" s="15">
        <f t="shared" si="12"/>
        <v>0</v>
      </c>
      <c r="M8" s="15">
        <f t="shared" si="13"/>
        <v>0</v>
      </c>
      <c r="N8" s="15">
        <f t="shared" si="14"/>
        <v>0</v>
      </c>
      <c r="O8" s="15">
        <f t="shared" si="15"/>
        <v>0</v>
      </c>
      <c r="P8" s="15">
        <f t="shared" si="16"/>
        <v>0</v>
      </c>
      <c r="Q8" s="15">
        <f t="shared" si="17"/>
        <v>0</v>
      </c>
      <c r="R8" s="15">
        <f t="shared" si="18"/>
        <v>0</v>
      </c>
      <c r="S8" s="15">
        <f t="shared" si="19"/>
        <v>0</v>
      </c>
      <c r="T8" s="15">
        <f t="shared" si="20"/>
        <v>0</v>
      </c>
      <c r="U8" s="15">
        <f t="shared" si="21"/>
        <v>0</v>
      </c>
      <c r="V8" s="24">
        <f t="shared" ref="V8:W8" si="28">B8+D8+F8+H8+J8+L8+N8+P8+R8+T8</f>
        <v>5</v>
      </c>
      <c r="W8" s="24">
        <f t="shared" si="28"/>
        <v>0</v>
      </c>
      <c r="X8" s="14">
        <f t="shared" si="23"/>
        <v>0</v>
      </c>
      <c r="Y8" s="14">
        <f t="shared" si="24"/>
        <v>1</v>
      </c>
    </row>
    <row r="9">
      <c r="A9" s="23" t="s">
        <v>135</v>
      </c>
      <c r="B9" s="15">
        <f t="shared" si="2"/>
        <v>0</v>
      </c>
      <c r="C9" s="15">
        <f t="shared" si="3"/>
        <v>0</v>
      </c>
      <c r="D9" s="15">
        <f t="shared" si="4"/>
        <v>0</v>
      </c>
      <c r="E9" s="15">
        <f t="shared" si="5"/>
        <v>0</v>
      </c>
      <c r="F9" s="15">
        <f t="shared" si="6"/>
        <v>0</v>
      </c>
      <c r="G9" s="15">
        <f t="shared" si="7"/>
        <v>0</v>
      </c>
      <c r="H9" s="15">
        <f t="shared" si="8"/>
        <v>0</v>
      </c>
      <c r="I9" s="15">
        <f t="shared" si="9"/>
        <v>0</v>
      </c>
      <c r="J9" s="15">
        <f t="shared" si="10"/>
        <v>0</v>
      </c>
      <c r="K9" s="15">
        <f t="shared" si="11"/>
        <v>0</v>
      </c>
      <c r="L9" s="15">
        <f t="shared" si="12"/>
        <v>3</v>
      </c>
      <c r="M9" s="15">
        <f t="shared" si="13"/>
        <v>0</v>
      </c>
      <c r="N9" s="15">
        <f t="shared" si="14"/>
        <v>8</v>
      </c>
      <c r="O9" s="15">
        <f t="shared" si="15"/>
        <v>3</v>
      </c>
      <c r="P9" s="15">
        <f t="shared" si="16"/>
        <v>0</v>
      </c>
      <c r="Q9" s="15">
        <f t="shared" si="17"/>
        <v>0</v>
      </c>
      <c r="R9" s="15">
        <f t="shared" si="18"/>
        <v>0</v>
      </c>
      <c r="S9" s="15">
        <f t="shared" si="19"/>
        <v>0</v>
      </c>
      <c r="T9" s="15">
        <f t="shared" si="20"/>
        <v>0</v>
      </c>
      <c r="U9" s="15">
        <f t="shared" si="21"/>
        <v>0</v>
      </c>
      <c r="V9" s="24">
        <f t="shared" ref="V9:W9" si="29">B9+D9+F9+H9+J9+L9+N9+P9+R9+T9</f>
        <v>11</v>
      </c>
      <c r="W9" s="24">
        <f t="shared" si="29"/>
        <v>3</v>
      </c>
      <c r="X9" s="14">
        <f t="shared" si="23"/>
        <v>0.27</v>
      </c>
      <c r="Y9" s="14">
        <f t="shared" si="24"/>
        <v>0</v>
      </c>
    </row>
    <row r="10">
      <c r="A10" s="23" t="s">
        <v>136</v>
      </c>
      <c r="B10" s="15">
        <f t="shared" si="2"/>
        <v>0</v>
      </c>
      <c r="C10" s="15">
        <f t="shared" si="3"/>
        <v>0</v>
      </c>
      <c r="D10" s="15">
        <f t="shared" si="4"/>
        <v>0</v>
      </c>
      <c r="E10" s="15">
        <f t="shared" si="5"/>
        <v>0</v>
      </c>
      <c r="F10" s="15">
        <f t="shared" si="6"/>
        <v>0</v>
      </c>
      <c r="G10" s="15">
        <f t="shared" si="7"/>
        <v>0</v>
      </c>
      <c r="H10" s="15">
        <f t="shared" si="8"/>
        <v>0</v>
      </c>
      <c r="I10" s="15">
        <f t="shared" si="9"/>
        <v>0</v>
      </c>
      <c r="J10" s="15">
        <f t="shared" si="10"/>
        <v>1</v>
      </c>
      <c r="K10" s="15">
        <f t="shared" si="11"/>
        <v>4</v>
      </c>
      <c r="L10" s="15">
        <f t="shared" si="12"/>
        <v>1</v>
      </c>
      <c r="M10" s="15">
        <f t="shared" si="13"/>
        <v>2</v>
      </c>
      <c r="N10" s="15">
        <f t="shared" si="14"/>
        <v>1</v>
      </c>
      <c r="O10" s="15">
        <f t="shared" si="15"/>
        <v>1</v>
      </c>
      <c r="P10" s="15">
        <f t="shared" si="16"/>
        <v>0</v>
      </c>
      <c r="Q10" s="15">
        <f t="shared" si="17"/>
        <v>0</v>
      </c>
      <c r="R10" s="15">
        <f t="shared" si="18"/>
        <v>0</v>
      </c>
      <c r="S10" s="15">
        <f t="shared" si="19"/>
        <v>0</v>
      </c>
      <c r="T10" s="15">
        <f t="shared" si="20"/>
        <v>0</v>
      </c>
      <c r="U10" s="15">
        <f t="shared" si="21"/>
        <v>0</v>
      </c>
      <c r="V10" s="24">
        <f t="shared" ref="V10:W10" si="30">B10+D10+F10+H10+J10+L10+N10+P10+R10+T10</f>
        <v>3</v>
      </c>
      <c r="W10" s="24">
        <f t="shared" si="30"/>
        <v>7</v>
      </c>
      <c r="X10" s="14">
        <f t="shared" si="23"/>
        <v>2.33</v>
      </c>
      <c r="Y10" s="14">
        <f t="shared" si="24"/>
        <v>0</v>
      </c>
    </row>
    <row r="11">
      <c r="A11" s="23" t="s">
        <v>104</v>
      </c>
      <c r="B11" s="15">
        <f t="shared" si="2"/>
        <v>0</v>
      </c>
      <c r="C11" s="15">
        <f t="shared" si="3"/>
        <v>0</v>
      </c>
      <c r="D11" s="15">
        <f t="shared" si="4"/>
        <v>4</v>
      </c>
      <c r="E11" s="15">
        <f t="shared" si="5"/>
        <v>3</v>
      </c>
      <c r="F11" s="15">
        <f t="shared" si="6"/>
        <v>7</v>
      </c>
      <c r="G11" s="15">
        <f t="shared" si="7"/>
        <v>5</v>
      </c>
      <c r="H11" s="15">
        <f t="shared" si="8"/>
        <v>4</v>
      </c>
      <c r="I11" s="15">
        <f t="shared" si="9"/>
        <v>1</v>
      </c>
      <c r="J11" s="15">
        <f t="shared" si="10"/>
        <v>1</v>
      </c>
      <c r="K11" s="15">
        <f t="shared" si="11"/>
        <v>1</v>
      </c>
      <c r="L11" s="15">
        <f t="shared" si="12"/>
        <v>3</v>
      </c>
      <c r="M11" s="15">
        <f t="shared" si="13"/>
        <v>2</v>
      </c>
      <c r="N11" s="15">
        <f t="shared" si="14"/>
        <v>2</v>
      </c>
      <c r="O11" s="15">
        <f t="shared" si="15"/>
        <v>4</v>
      </c>
      <c r="P11" s="15">
        <f t="shared" si="16"/>
        <v>1</v>
      </c>
      <c r="Q11" s="15">
        <f t="shared" si="17"/>
        <v>2</v>
      </c>
      <c r="R11" s="15">
        <f t="shared" si="18"/>
        <v>0</v>
      </c>
      <c r="S11" s="15">
        <f t="shared" si="19"/>
        <v>0</v>
      </c>
      <c r="T11" s="15">
        <f t="shared" si="20"/>
        <v>0</v>
      </c>
      <c r="U11" s="15">
        <f t="shared" si="21"/>
        <v>0</v>
      </c>
      <c r="V11" s="24">
        <f t="shared" ref="V11:W11" si="31">B11+D11+F11+H11+J11+L11+N11+P11+R11+T11</f>
        <v>22</v>
      </c>
      <c r="W11" s="24">
        <f t="shared" si="31"/>
        <v>18</v>
      </c>
      <c r="X11" s="14">
        <f t="shared" si="23"/>
        <v>0.82</v>
      </c>
      <c r="Y11" s="14">
        <f t="shared" si="24"/>
        <v>0</v>
      </c>
    </row>
    <row r="12">
      <c r="A12" s="23" t="s">
        <v>137</v>
      </c>
      <c r="B12" s="15">
        <f t="shared" si="2"/>
        <v>5</v>
      </c>
      <c r="C12" s="15">
        <f t="shared" si="3"/>
        <v>3</v>
      </c>
      <c r="D12" s="15">
        <f t="shared" si="4"/>
        <v>5</v>
      </c>
      <c r="E12" s="15">
        <f t="shared" si="5"/>
        <v>2</v>
      </c>
      <c r="F12" s="15">
        <f t="shared" si="6"/>
        <v>5</v>
      </c>
      <c r="G12" s="15">
        <f t="shared" si="7"/>
        <v>1</v>
      </c>
      <c r="H12" s="15">
        <f t="shared" si="8"/>
        <v>9</v>
      </c>
      <c r="I12" s="15">
        <f t="shared" si="9"/>
        <v>1</v>
      </c>
      <c r="J12" s="15">
        <f t="shared" si="10"/>
        <v>10</v>
      </c>
      <c r="K12" s="15">
        <f t="shared" si="11"/>
        <v>2</v>
      </c>
      <c r="L12" s="15">
        <f t="shared" si="12"/>
        <v>0</v>
      </c>
      <c r="M12" s="15">
        <f t="shared" si="13"/>
        <v>0</v>
      </c>
      <c r="N12" s="15">
        <f t="shared" si="14"/>
        <v>3</v>
      </c>
      <c r="O12" s="15">
        <f t="shared" si="15"/>
        <v>1</v>
      </c>
      <c r="P12" s="15">
        <f t="shared" si="16"/>
        <v>0</v>
      </c>
      <c r="Q12" s="15">
        <f t="shared" si="17"/>
        <v>0</v>
      </c>
      <c r="R12" s="15">
        <f t="shared" si="18"/>
        <v>0</v>
      </c>
      <c r="S12" s="15">
        <f t="shared" si="19"/>
        <v>0</v>
      </c>
      <c r="T12" s="15">
        <f t="shared" si="20"/>
        <v>0</v>
      </c>
      <c r="U12" s="15">
        <f t="shared" si="21"/>
        <v>0</v>
      </c>
      <c r="V12" s="24">
        <f t="shared" ref="V12:W12" si="32">B12+D12+F12+H12+J12+L12+N12+P12+R12+T12</f>
        <v>37</v>
      </c>
      <c r="W12" s="24">
        <f t="shared" si="32"/>
        <v>10</v>
      </c>
      <c r="X12" s="14">
        <f t="shared" si="23"/>
        <v>0.27</v>
      </c>
      <c r="Y12" s="14">
        <f t="shared" si="24"/>
        <v>2</v>
      </c>
    </row>
    <row r="13">
      <c r="A13" s="23" t="s">
        <v>101</v>
      </c>
      <c r="B13" s="15">
        <f t="shared" si="2"/>
        <v>8</v>
      </c>
      <c r="C13" s="15">
        <f t="shared" si="3"/>
        <v>0</v>
      </c>
      <c r="D13" s="15">
        <f t="shared" si="4"/>
        <v>6</v>
      </c>
      <c r="E13" s="15">
        <f t="shared" si="5"/>
        <v>0</v>
      </c>
      <c r="F13" s="15">
        <f t="shared" si="6"/>
        <v>2</v>
      </c>
      <c r="G13" s="15">
        <f t="shared" si="7"/>
        <v>0</v>
      </c>
      <c r="H13" s="15">
        <f t="shared" si="8"/>
        <v>0</v>
      </c>
      <c r="I13" s="15">
        <f t="shared" si="9"/>
        <v>0</v>
      </c>
      <c r="J13" s="15">
        <f t="shared" si="10"/>
        <v>1</v>
      </c>
      <c r="K13" s="15">
        <f t="shared" si="11"/>
        <v>0</v>
      </c>
      <c r="L13" s="15">
        <f t="shared" si="12"/>
        <v>0</v>
      </c>
      <c r="M13" s="15">
        <f t="shared" si="13"/>
        <v>0</v>
      </c>
      <c r="N13" s="15">
        <f t="shared" si="14"/>
        <v>0</v>
      </c>
      <c r="O13" s="15">
        <f t="shared" si="15"/>
        <v>0</v>
      </c>
      <c r="P13" s="15">
        <f t="shared" si="16"/>
        <v>0</v>
      </c>
      <c r="Q13" s="15">
        <f t="shared" si="17"/>
        <v>0</v>
      </c>
      <c r="R13" s="15">
        <f t="shared" si="18"/>
        <v>0</v>
      </c>
      <c r="S13" s="15">
        <f t="shared" si="19"/>
        <v>0</v>
      </c>
      <c r="T13" s="15">
        <f t="shared" si="20"/>
        <v>0</v>
      </c>
      <c r="U13" s="15">
        <f t="shared" si="21"/>
        <v>0</v>
      </c>
      <c r="V13" s="24">
        <f t="shared" ref="V13:W13" si="33">B13+D13+F13+H13+J13+L13+N13+P13+R13+T13</f>
        <v>17</v>
      </c>
      <c r="W13" s="24">
        <f t="shared" si="33"/>
        <v>0</v>
      </c>
      <c r="X13" s="14">
        <f t="shared" si="23"/>
        <v>0</v>
      </c>
      <c r="Y13" s="14">
        <f t="shared" si="24"/>
        <v>0</v>
      </c>
    </row>
    <row r="14">
      <c r="A14" s="23" t="s">
        <v>98</v>
      </c>
      <c r="B14" s="15">
        <f t="shared" si="2"/>
        <v>8</v>
      </c>
      <c r="C14" s="15">
        <f t="shared" si="3"/>
        <v>1</v>
      </c>
      <c r="D14" s="15">
        <f t="shared" si="4"/>
        <v>3</v>
      </c>
      <c r="E14" s="15">
        <f t="shared" si="5"/>
        <v>0</v>
      </c>
      <c r="F14" s="15">
        <f t="shared" si="6"/>
        <v>10</v>
      </c>
      <c r="G14" s="15">
        <f t="shared" si="7"/>
        <v>1</v>
      </c>
      <c r="H14" s="15">
        <f t="shared" si="8"/>
        <v>9</v>
      </c>
      <c r="I14" s="15">
        <f t="shared" si="9"/>
        <v>0</v>
      </c>
      <c r="J14" s="15">
        <f t="shared" si="10"/>
        <v>8</v>
      </c>
      <c r="K14" s="15">
        <f t="shared" si="11"/>
        <v>1</v>
      </c>
      <c r="L14" s="15">
        <f t="shared" si="12"/>
        <v>6</v>
      </c>
      <c r="M14" s="15">
        <f t="shared" si="13"/>
        <v>0</v>
      </c>
      <c r="N14" s="15">
        <f t="shared" si="14"/>
        <v>4</v>
      </c>
      <c r="O14" s="15">
        <f t="shared" si="15"/>
        <v>1</v>
      </c>
      <c r="P14" s="15">
        <f t="shared" si="16"/>
        <v>1</v>
      </c>
      <c r="Q14" s="15">
        <f t="shared" si="17"/>
        <v>0</v>
      </c>
      <c r="R14" s="15">
        <f t="shared" si="18"/>
        <v>0</v>
      </c>
      <c r="S14" s="15">
        <f t="shared" si="19"/>
        <v>0</v>
      </c>
      <c r="T14" s="15">
        <f t="shared" si="20"/>
        <v>0</v>
      </c>
      <c r="U14" s="15">
        <f t="shared" si="21"/>
        <v>0</v>
      </c>
      <c r="V14" s="24">
        <f t="shared" ref="V14:W14" si="34">B14+D14+F14+H14+J14+L14+N14+P14+R14+T14</f>
        <v>49</v>
      </c>
      <c r="W14" s="24">
        <f t="shared" si="34"/>
        <v>4</v>
      </c>
      <c r="X14" s="14">
        <f t="shared" si="23"/>
        <v>0.08</v>
      </c>
      <c r="Y14" s="14">
        <f t="shared" si="24"/>
        <v>7</v>
      </c>
    </row>
    <row r="15">
      <c r="A15" s="23" t="s">
        <v>138</v>
      </c>
      <c r="B15" s="15">
        <f t="shared" si="2"/>
        <v>0</v>
      </c>
      <c r="C15" s="15">
        <f t="shared" si="3"/>
        <v>0</v>
      </c>
      <c r="D15" s="15">
        <f t="shared" si="4"/>
        <v>1</v>
      </c>
      <c r="E15" s="15">
        <f t="shared" si="5"/>
        <v>0</v>
      </c>
      <c r="F15" s="15">
        <f t="shared" si="6"/>
        <v>0</v>
      </c>
      <c r="G15" s="15">
        <f t="shared" si="7"/>
        <v>0</v>
      </c>
      <c r="H15" s="15">
        <f t="shared" si="8"/>
        <v>0</v>
      </c>
      <c r="I15" s="15">
        <f t="shared" si="9"/>
        <v>0</v>
      </c>
      <c r="J15" s="15">
        <f t="shared" si="10"/>
        <v>0</v>
      </c>
      <c r="K15" s="15">
        <f t="shared" si="11"/>
        <v>0</v>
      </c>
      <c r="L15" s="15">
        <f t="shared" si="12"/>
        <v>0</v>
      </c>
      <c r="M15" s="15">
        <f t="shared" si="13"/>
        <v>0</v>
      </c>
      <c r="N15" s="15">
        <f t="shared" si="14"/>
        <v>0</v>
      </c>
      <c r="O15" s="15">
        <f t="shared" si="15"/>
        <v>0</v>
      </c>
      <c r="P15" s="15">
        <f t="shared" si="16"/>
        <v>0</v>
      </c>
      <c r="Q15" s="15">
        <f t="shared" si="17"/>
        <v>0</v>
      </c>
      <c r="R15" s="15">
        <f t="shared" si="18"/>
        <v>0</v>
      </c>
      <c r="S15" s="15">
        <f t="shared" si="19"/>
        <v>0</v>
      </c>
      <c r="T15" s="15">
        <f t="shared" si="20"/>
        <v>0</v>
      </c>
      <c r="U15" s="15">
        <f t="shared" si="21"/>
        <v>0</v>
      </c>
      <c r="V15" s="24">
        <f t="shared" ref="V15:W15" si="35">B15+D15+F15+H15+J15+L15+N15+P15+R15+T15</f>
        <v>1</v>
      </c>
      <c r="W15" s="24">
        <f t="shared" si="35"/>
        <v>0</v>
      </c>
      <c r="X15" s="14">
        <f t="shared" si="23"/>
        <v>0</v>
      </c>
      <c r="Y15" s="14">
        <f t="shared" si="24"/>
        <v>0</v>
      </c>
    </row>
    <row r="16">
      <c r="A16" s="23" t="s">
        <v>139</v>
      </c>
      <c r="B16" s="15">
        <f t="shared" si="2"/>
        <v>0</v>
      </c>
      <c r="C16" s="15">
        <f t="shared" si="3"/>
        <v>0</v>
      </c>
      <c r="D16" s="15">
        <f t="shared" si="4"/>
        <v>0</v>
      </c>
      <c r="E16" s="15">
        <f t="shared" si="5"/>
        <v>0</v>
      </c>
      <c r="F16" s="15">
        <f t="shared" si="6"/>
        <v>0</v>
      </c>
      <c r="G16" s="15">
        <f t="shared" si="7"/>
        <v>0</v>
      </c>
      <c r="H16" s="15">
        <f t="shared" si="8"/>
        <v>0</v>
      </c>
      <c r="I16" s="15">
        <f t="shared" si="9"/>
        <v>0</v>
      </c>
      <c r="J16" s="15">
        <f t="shared" si="10"/>
        <v>1</v>
      </c>
      <c r="K16" s="15">
        <f t="shared" si="11"/>
        <v>0</v>
      </c>
      <c r="L16" s="15">
        <f t="shared" si="12"/>
        <v>2</v>
      </c>
      <c r="M16" s="15">
        <f t="shared" si="13"/>
        <v>0</v>
      </c>
      <c r="N16" s="15">
        <f t="shared" si="14"/>
        <v>1</v>
      </c>
      <c r="O16" s="15">
        <f t="shared" si="15"/>
        <v>0</v>
      </c>
      <c r="P16" s="15">
        <f t="shared" si="16"/>
        <v>0</v>
      </c>
      <c r="Q16" s="15">
        <f t="shared" si="17"/>
        <v>0</v>
      </c>
      <c r="R16" s="15">
        <f t="shared" si="18"/>
        <v>0</v>
      </c>
      <c r="S16" s="15">
        <f t="shared" si="19"/>
        <v>0</v>
      </c>
      <c r="T16" s="15">
        <f t="shared" si="20"/>
        <v>0</v>
      </c>
      <c r="U16" s="15">
        <f t="shared" si="21"/>
        <v>0</v>
      </c>
      <c r="V16" s="24">
        <f t="shared" ref="V16:W16" si="36">B16+D16+F16+H16+J16+L16+N16+P16+R16+T16</f>
        <v>4</v>
      </c>
      <c r="W16" s="24">
        <f t="shared" si="36"/>
        <v>0</v>
      </c>
      <c r="X16" s="14">
        <f t="shared" si="23"/>
        <v>0</v>
      </c>
      <c r="Y16" s="14">
        <f t="shared" si="24"/>
        <v>1</v>
      </c>
    </row>
    <row r="17">
      <c r="A17" s="23" t="s">
        <v>140</v>
      </c>
      <c r="B17" s="15">
        <f t="shared" si="2"/>
        <v>0</v>
      </c>
      <c r="C17" s="15">
        <f t="shared" si="3"/>
        <v>0</v>
      </c>
      <c r="D17" s="15">
        <f t="shared" si="4"/>
        <v>0</v>
      </c>
      <c r="E17" s="15">
        <f t="shared" si="5"/>
        <v>0</v>
      </c>
      <c r="F17" s="15">
        <f t="shared" si="6"/>
        <v>0</v>
      </c>
      <c r="G17" s="15">
        <f t="shared" si="7"/>
        <v>0</v>
      </c>
      <c r="H17" s="15">
        <f t="shared" si="8"/>
        <v>0</v>
      </c>
      <c r="I17" s="15">
        <f t="shared" si="9"/>
        <v>0</v>
      </c>
      <c r="J17" s="15">
        <f t="shared" si="10"/>
        <v>0</v>
      </c>
      <c r="K17" s="15">
        <f t="shared" si="11"/>
        <v>0</v>
      </c>
      <c r="L17" s="15">
        <f t="shared" si="12"/>
        <v>9</v>
      </c>
      <c r="M17" s="15">
        <f t="shared" si="13"/>
        <v>3</v>
      </c>
      <c r="N17" s="15">
        <f t="shared" si="14"/>
        <v>5</v>
      </c>
      <c r="O17" s="15">
        <f t="shared" si="15"/>
        <v>1</v>
      </c>
      <c r="P17" s="15">
        <f t="shared" si="16"/>
        <v>1</v>
      </c>
      <c r="Q17" s="15">
        <f t="shared" si="17"/>
        <v>0</v>
      </c>
      <c r="R17" s="15">
        <f t="shared" si="18"/>
        <v>0</v>
      </c>
      <c r="S17" s="15">
        <f t="shared" si="19"/>
        <v>0</v>
      </c>
      <c r="T17" s="15">
        <f t="shared" si="20"/>
        <v>0</v>
      </c>
      <c r="U17" s="15">
        <f t="shared" si="21"/>
        <v>0</v>
      </c>
      <c r="V17" s="24">
        <f t="shared" ref="V17:W17" si="37">B17+D17+F17+H17+J17+L17+N17+P17+R17+T17</f>
        <v>15</v>
      </c>
      <c r="W17" s="24">
        <f t="shared" si="37"/>
        <v>4</v>
      </c>
      <c r="X17" s="14">
        <f t="shared" si="23"/>
        <v>0.27</v>
      </c>
      <c r="Y17" s="14">
        <f t="shared" si="24"/>
        <v>1</v>
      </c>
    </row>
    <row r="18">
      <c r="A18" s="23" t="s">
        <v>141</v>
      </c>
      <c r="B18" s="15">
        <f t="shared" si="2"/>
        <v>0</v>
      </c>
      <c r="C18" s="15">
        <f t="shared" si="3"/>
        <v>0</v>
      </c>
      <c r="D18" s="15">
        <f t="shared" si="4"/>
        <v>0</v>
      </c>
      <c r="E18" s="15">
        <f t="shared" si="5"/>
        <v>0</v>
      </c>
      <c r="F18" s="15">
        <f t="shared" si="6"/>
        <v>0</v>
      </c>
      <c r="G18" s="15">
        <f t="shared" si="7"/>
        <v>0</v>
      </c>
      <c r="H18" s="15">
        <f t="shared" si="8"/>
        <v>0</v>
      </c>
      <c r="I18" s="15">
        <f t="shared" si="9"/>
        <v>0</v>
      </c>
      <c r="J18" s="15">
        <f t="shared" si="10"/>
        <v>0</v>
      </c>
      <c r="K18" s="15">
        <f t="shared" si="11"/>
        <v>0</v>
      </c>
      <c r="L18" s="15">
        <f t="shared" si="12"/>
        <v>12</v>
      </c>
      <c r="M18" s="15">
        <f t="shared" si="13"/>
        <v>6</v>
      </c>
      <c r="N18" s="15">
        <f t="shared" si="14"/>
        <v>11</v>
      </c>
      <c r="O18" s="15">
        <f t="shared" si="15"/>
        <v>1</v>
      </c>
      <c r="P18" s="15">
        <f t="shared" si="16"/>
        <v>0</v>
      </c>
      <c r="Q18" s="15">
        <f t="shared" si="17"/>
        <v>0</v>
      </c>
      <c r="R18" s="15">
        <f t="shared" si="18"/>
        <v>0</v>
      </c>
      <c r="S18" s="15">
        <f t="shared" si="19"/>
        <v>0</v>
      </c>
      <c r="T18" s="15">
        <f t="shared" si="20"/>
        <v>0</v>
      </c>
      <c r="U18" s="15">
        <f t="shared" si="21"/>
        <v>0</v>
      </c>
      <c r="V18" s="24">
        <f t="shared" ref="V18:W18" si="38">B18+D18+F18+H18+J18+L18+N18+P18+R18+T18</f>
        <v>23</v>
      </c>
      <c r="W18" s="24">
        <f t="shared" si="38"/>
        <v>7</v>
      </c>
      <c r="X18" s="14">
        <f t="shared" si="23"/>
        <v>0.3</v>
      </c>
      <c r="Y18" s="14">
        <f t="shared" si="24"/>
        <v>0</v>
      </c>
    </row>
    <row r="19">
      <c r="A19" s="23" t="s">
        <v>105</v>
      </c>
      <c r="B19" s="15">
        <f t="shared" si="2"/>
        <v>8</v>
      </c>
      <c r="C19" s="15">
        <f t="shared" si="3"/>
        <v>4</v>
      </c>
      <c r="D19" s="15">
        <f t="shared" si="4"/>
        <v>5</v>
      </c>
      <c r="E19" s="15">
        <f t="shared" si="5"/>
        <v>4</v>
      </c>
      <c r="F19" s="15">
        <f t="shared" si="6"/>
        <v>8</v>
      </c>
      <c r="G19" s="15">
        <f t="shared" si="7"/>
        <v>5</v>
      </c>
      <c r="H19" s="15">
        <f t="shared" si="8"/>
        <v>8</v>
      </c>
      <c r="I19" s="15">
        <f t="shared" si="9"/>
        <v>1</v>
      </c>
      <c r="J19" s="15">
        <f t="shared" si="10"/>
        <v>12</v>
      </c>
      <c r="K19" s="15">
        <f t="shared" si="11"/>
        <v>5</v>
      </c>
      <c r="L19" s="15">
        <f t="shared" si="12"/>
        <v>10</v>
      </c>
      <c r="M19" s="15">
        <f t="shared" si="13"/>
        <v>3</v>
      </c>
      <c r="N19" s="15">
        <f t="shared" si="14"/>
        <v>3</v>
      </c>
      <c r="O19" s="15">
        <f t="shared" si="15"/>
        <v>1</v>
      </c>
      <c r="P19" s="15">
        <f t="shared" si="16"/>
        <v>1</v>
      </c>
      <c r="Q19" s="15">
        <f t="shared" si="17"/>
        <v>0</v>
      </c>
      <c r="R19" s="15">
        <f t="shared" si="18"/>
        <v>0</v>
      </c>
      <c r="S19" s="15">
        <f t="shared" si="19"/>
        <v>0</v>
      </c>
      <c r="T19" s="15">
        <f t="shared" si="20"/>
        <v>0</v>
      </c>
      <c r="U19" s="15">
        <f t="shared" si="21"/>
        <v>0</v>
      </c>
      <c r="V19" s="24">
        <f t="shared" ref="V19:W19" si="39">B19+D19+F19+H19+J19+L19+N19+P19+R19+T19</f>
        <v>55</v>
      </c>
      <c r="W19" s="24">
        <f t="shared" si="39"/>
        <v>23</v>
      </c>
      <c r="X19" s="14">
        <f t="shared" si="23"/>
        <v>0.42</v>
      </c>
      <c r="Y19" s="14">
        <f t="shared" si="24"/>
        <v>7</v>
      </c>
    </row>
    <row r="20">
      <c r="A20" s="23" t="s">
        <v>111</v>
      </c>
      <c r="B20" s="15">
        <f t="shared" si="2"/>
        <v>9</v>
      </c>
      <c r="C20" s="15">
        <f t="shared" si="3"/>
        <v>1</v>
      </c>
      <c r="D20" s="15">
        <f t="shared" si="4"/>
        <v>3</v>
      </c>
      <c r="E20" s="15">
        <f t="shared" si="5"/>
        <v>0</v>
      </c>
      <c r="F20" s="15">
        <f t="shared" si="6"/>
        <v>7</v>
      </c>
      <c r="G20" s="15">
        <f t="shared" si="7"/>
        <v>4</v>
      </c>
      <c r="H20" s="15">
        <f t="shared" si="8"/>
        <v>9</v>
      </c>
      <c r="I20" s="15">
        <f t="shared" si="9"/>
        <v>0</v>
      </c>
      <c r="J20" s="15">
        <f t="shared" si="10"/>
        <v>7</v>
      </c>
      <c r="K20" s="15">
        <f t="shared" si="11"/>
        <v>0</v>
      </c>
      <c r="L20" s="15">
        <f t="shared" si="12"/>
        <v>4</v>
      </c>
      <c r="M20" s="15">
        <f t="shared" si="13"/>
        <v>1</v>
      </c>
      <c r="N20" s="15">
        <f t="shared" si="14"/>
        <v>3</v>
      </c>
      <c r="O20" s="15">
        <f t="shared" si="15"/>
        <v>1</v>
      </c>
      <c r="P20" s="15">
        <f t="shared" si="16"/>
        <v>0</v>
      </c>
      <c r="Q20" s="15">
        <f t="shared" si="17"/>
        <v>0</v>
      </c>
      <c r="R20" s="15">
        <f t="shared" si="18"/>
        <v>0</v>
      </c>
      <c r="S20" s="15">
        <f t="shared" si="19"/>
        <v>0</v>
      </c>
      <c r="T20" s="15">
        <f t="shared" si="20"/>
        <v>0</v>
      </c>
      <c r="U20" s="15">
        <f t="shared" si="21"/>
        <v>0</v>
      </c>
      <c r="V20" s="24">
        <f t="shared" ref="V20:W20" si="40">B20+D20+F20+H20+J20+L20+N20+P20+R20+T20</f>
        <v>42</v>
      </c>
      <c r="W20" s="24">
        <f t="shared" si="40"/>
        <v>7</v>
      </c>
      <c r="X20" s="14">
        <f t="shared" si="23"/>
        <v>0.17</v>
      </c>
      <c r="Y20" s="14">
        <f t="shared" si="24"/>
        <v>4</v>
      </c>
    </row>
    <row r="21" ht="15.75" customHeight="1">
      <c r="A21" s="23" t="s">
        <v>102</v>
      </c>
      <c r="B21" s="15">
        <f t="shared" si="2"/>
        <v>10</v>
      </c>
      <c r="C21" s="15">
        <f t="shared" si="3"/>
        <v>4</v>
      </c>
      <c r="D21" s="15">
        <f t="shared" si="4"/>
        <v>4</v>
      </c>
      <c r="E21" s="15">
        <f t="shared" si="5"/>
        <v>1</v>
      </c>
      <c r="F21" s="15">
        <f t="shared" si="6"/>
        <v>9</v>
      </c>
      <c r="G21" s="15">
        <f t="shared" si="7"/>
        <v>7</v>
      </c>
      <c r="H21" s="15">
        <f t="shared" si="8"/>
        <v>5</v>
      </c>
      <c r="I21" s="15">
        <f t="shared" si="9"/>
        <v>2</v>
      </c>
      <c r="J21" s="15">
        <f t="shared" si="10"/>
        <v>9</v>
      </c>
      <c r="K21" s="15">
        <f t="shared" si="11"/>
        <v>3</v>
      </c>
      <c r="L21" s="15">
        <f t="shared" si="12"/>
        <v>10</v>
      </c>
      <c r="M21" s="15">
        <f t="shared" si="13"/>
        <v>4</v>
      </c>
      <c r="N21" s="15">
        <f t="shared" si="14"/>
        <v>8</v>
      </c>
      <c r="O21" s="15">
        <f t="shared" si="15"/>
        <v>3</v>
      </c>
      <c r="P21" s="15">
        <f t="shared" si="16"/>
        <v>1</v>
      </c>
      <c r="Q21" s="15">
        <f t="shared" si="17"/>
        <v>0</v>
      </c>
      <c r="R21" s="15">
        <f t="shared" si="18"/>
        <v>0</v>
      </c>
      <c r="S21" s="15">
        <f t="shared" si="19"/>
        <v>0</v>
      </c>
      <c r="T21" s="15">
        <f t="shared" si="20"/>
        <v>0</v>
      </c>
      <c r="U21" s="15">
        <f t="shared" si="21"/>
        <v>0</v>
      </c>
      <c r="V21" s="24">
        <f t="shared" ref="V21:W21" si="41">B21+D21+F21+H21+J21+L21+N21+P21+R21+T21</f>
        <v>56</v>
      </c>
      <c r="W21" s="24">
        <f t="shared" si="41"/>
        <v>24</v>
      </c>
      <c r="X21" s="14">
        <f t="shared" si="23"/>
        <v>0.43</v>
      </c>
      <c r="Y21" s="14">
        <f t="shared" si="24"/>
        <v>12</v>
      </c>
    </row>
    <row r="22" ht="15.75" customHeight="1">
      <c r="A22" s="23" t="s">
        <v>142</v>
      </c>
      <c r="B22" s="15">
        <f t="shared" si="2"/>
        <v>1</v>
      </c>
      <c r="C22" s="15">
        <f t="shared" si="3"/>
        <v>1</v>
      </c>
      <c r="D22" s="15">
        <f t="shared" si="4"/>
        <v>1</v>
      </c>
      <c r="E22" s="15">
        <f t="shared" si="5"/>
        <v>0</v>
      </c>
      <c r="F22" s="15">
        <f t="shared" si="6"/>
        <v>0</v>
      </c>
      <c r="G22" s="15">
        <f t="shared" si="7"/>
        <v>0</v>
      </c>
      <c r="H22" s="15">
        <f t="shared" si="8"/>
        <v>0</v>
      </c>
      <c r="I22" s="15">
        <f t="shared" si="9"/>
        <v>0</v>
      </c>
      <c r="J22" s="15">
        <f t="shared" si="10"/>
        <v>0</v>
      </c>
      <c r="K22" s="15">
        <f t="shared" si="11"/>
        <v>0</v>
      </c>
      <c r="L22" s="15">
        <f t="shared" si="12"/>
        <v>0</v>
      </c>
      <c r="M22" s="15">
        <f t="shared" si="13"/>
        <v>0</v>
      </c>
      <c r="N22" s="15">
        <f t="shared" si="14"/>
        <v>0</v>
      </c>
      <c r="O22" s="15">
        <f t="shared" si="15"/>
        <v>0</v>
      </c>
      <c r="P22" s="15">
        <f t="shared" si="16"/>
        <v>0</v>
      </c>
      <c r="Q22" s="15">
        <f t="shared" si="17"/>
        <v>0</v>
      </c>
      <c r="R22" s="15">
        <f t="shared" si="18"/>
        <v>0</v>
      </c>
      <c r="S22" s="15">
        <f t="shared" si="19"/>
        <v>0</v>
      </c>
      <c r="T22" s="15">
        <f t="shared" si="20"/>
        <v>0</v>
      </c>
      <c r="U22" s="15">
        <f t="shared" si="21"/>
        <v>0</v>
      </c>
      <c r="V22" s="24">
        <f t="shared" ref="V22:W22" si="42">B22+D22+F22+H22+J22+L22+N22+P22+R22+T22</f>
        <v>2</v>
      </c>
      <c r="W22" s="24">
        <f t="shared" si="42"/>
        <v>1</v>
      </c>
      <c r="X22" s="14">
        <f t="shared" si="23"/>
        <v>0.5</v>
      </c>
      <c r="Y22" s="14">
        <f t="shared" si="24"/>
        <v>0</v>
      </c>
    </row>
    <row r="23" ht="15.75" customHeight="1">
      <c r="A23" s="23" t="s">
        <v>99</v>
      </c>
      <c r="B23" s="15">
        <f t="shared" si="2"/>
        <v>6</v>
      </c>
      <c r="C23" s="15">
        <f t="shared" si="3"/>
        <v>5</v>
      </c>
      <c r="D23" s="15">
        <f t="shared" si="4"/>
        <v>6</v>
      </c>
      <c r="E23" s="15">
        <f t="shared" si="5"/>
        <v>1</v>
      </c>
      <c r="F23" s="15">
        <f t="shared" si="6"/>
        <v>1</v>
      </c>
      <c r="G23" s="15">
        <f t="shared" si="7"/>
        <v>0</v>
      </c>
      <c r="H23" s="15">
        <f t="shared" si="8"/>
        <v>3</v>
      </c>
      <c r="I23" s="15">
        <f t="shared" si="9"/>
        <v>0</v>
      </c>
      <c r="J23" s="15">
        <f t="shared" si="10"/>
        <v>11</v>
      </c>
      <c r="K23" s="15">
        <f t="shared" si="11"/>
        <v>0</v>
      </c>
      <c r="L23" s="15">
        <f t="shared" si="12"/>
        <v>7</v>
      </c>
      <c r="M23" s="15">
        <f t="shared" si="13"/>
        <v>1</v>
      </c>
      <c r="N23" s="15">
        <f t="shared" si="14"/>
        <v>0</v>
      </c>
      <c r="O23" s="15">
        <f t="shared" si="15"/>
        <v>0</v>
      </c>
      <c r="P23" s="15">
        <f t="shared" si="16"/>
        <v>0</v>
      </c>
      <c r="Q23" s="15">
        <f t="shared" si="17"/>
        <v>0</v>
      </c>
      <c r="R23" s="15">
        <f t="shared" si="18"/>
        <v>0</v>
      </c>
      <c r="S23" s="15">
        <f t="shared" si="19"/>
        <v>0</v>
      </c>
      <c r="T23" s="15">
        <f t="shared" si="20"/>
        <v>0</v>
      </c>
      <c r="U23" s="15">
        <f t="shared" si="21"/>
        <v>0</v>
      </c>
      <c r="V23" s="24">
        <f t="shared" ref="V23:W23" si="43">B23+D23+F23+H23+J23+L23+N23+P23+R23+T23</f>
        <v>34</v>
      </c>
      <c r="W23" s="24">
        <f t="shared" si="43"/>
        <v>7</v>
      </c>
      <c r="X23" s="14">
        <f t="shared" si="23"/>
        <v>0.21</v>
      </c>
      <c r="Y23" s="14">
        <f t="shared" si="24"/>
        <v>1</v>
      </c>
    </row>
    <row r="24" ht="15.75" customHeight="1">
      <c r="A24" s="23" t="s">
        <v>143</v>
      </c>
      <c r="B24" s="15">
        <f t="shared" si="2"/>
        <v>0</v>
      </c>
      <c r="C24" s="15">
        <f t="shared" si="3"/>
        <v>0</v>
      </c>
      <c r="D24" s="15">
        <f t="shared" si="4"/>
        <v>5</v>
      </c>
      <c r="E24" s="15">
        <f t="shared" si="5"/>
        <v>5</v>
      </c>
      <c r="F24" s="15">
        <f t="shared" si="6"/>
        <v>9</v>
      </c>
      <c r="G24" s="15">
        <f t="shared" si="7"/>
        <v>6</v>
      </c>
      <c r="H24" s="15">
        <f t="shared" si="8"/>
        <v>13</v>
      </c>
      <c r="I24" s="15">
        <f t="shared" si="9"/>
        <v>14</v>
      </c>
      <c r="J24" s="15">
        <f t="shared" si="10"/>
        <v>9</v>
      </c>
      <c r="K24" s="15">
        <f t="shared" si="11"/>
        <v>10</v>
      </c>
      <c r="L24" s="15">
        <f t="shared" si="12"/>
        <v>13</v>
      </c>
      <c r="M24" s="15">
        <f t="shared" si="13"/>
        <v>15</v>
      </c>
      <c r="N24" s="15">
        <f t="shared" si="14"/>
        <v>4</v>
      </c>
      <c r="O24" s="15">
        <f t="shared" si="15"/>
        <v>5</v>
      </c>
      <c r="P24" s="15">
        <f t="shared" si="16"/>
        <v>1</v>
      </c>
      <c r="Q24" s="15">
        <f t="shared" si="17"/>
        <v>3</v>
      </c>
      <c r="R24" s="15">
        <f t="shared" si="18"/>
        <v>0</v>
      </c>
      <c r="S24" s="15">
        <f t="shared" si="19"/>
        <v>0</v>
      </c>
      <c r="T24" s="15">
        <f t="shared" si="20"/>
        <v>0</v>
      </c>
      <c r="U24" s="15">
        <f t="shared" si="21"/>
        <v>0</v>
      </c>
      <c r="V24" s="24">
        <f t="shared" ref="V24:W24" si="44">B24+D24+F24+H24+J24+L24+N24+P24+R24+T24</f>
        <v>54</v>
      </c>
      <c r="W24" s="24">
        <f t="shared" si="44"/>
        <v>58</v>
      </c>
      <c r="X24" s="14">
        <f t="shared" si="23"/>
        <v>1.07</v>
      </c>
      <c r="Y24" s="14">
        <f t="shared" si="24"/>
        <v>1</v>
      </c>
    </row>
    <row r="25" ht="15.75" customHeight="1">
      <c r="A25" s="23"/>
      <c r="B25" s="15">
        <f t="shared" si="2"/>
        <v>0</v>
      </c>
      <c r="C25" s="15">
        <f t="shared" si="3"/>
        <v>0</v>
      </c>
      <c r="D25" s="15">
        <f t="shared" si="4"/>
        <v>0</v>
      </c>
      <c r="E25" s="15">
        <f t="shared" si="5"/>
        <v>0</v>
      </c>
      <c r="F25" s="15">
        <f t="shared" si="6"/>
        <v>0</v>
      </c>
      <c r="G25" s="15">
        <f t="shared" si="7"/>
        <v>0</v>
      </c>
      <c r="H25" s="15">
        <f t="shared" si="8"/>
        <v>0</v>
      </c>
      <c r="I25" s="15">
        <f t="shared" si="9"/>
        <v>0</v>
      </c>
      <c r="J25" s="15">
        <f t="shared" si="10"/>
        <v>0</v>
      </c>
      <c r="K25" s="15">
        <f t="shared" si="11"/>
        <v>0</v>
      </c>
      <c r="L25" s="15">
        <f t="shared" si="12"/>
        <v>0</v>
      </c>
      <c r="M25" s="15">
        <f t="shared" si="13"/>
        <v>0</v>
      </c>
      <c r="N25" s="15">
        <f t="shared" si="14"/>
        <v>0</v>
      </c>
      <c r="O25" s="15">
        <f t="shared" si="15"/>
        <v>0</v>
      </c>
      <c r="P25" s="15">
        <f t="shared" si="16"/>
        <v>0</v>
      </c>
      <c r="Q25" s="15">
        <f t="shared" si="17"/>
        <v>0</v>
      </c>
      <c r="R25" s="15">
        <f t="shared" si="18"/>
        <v>0</v>
      </c>
      <c r="S25" s="15">
        <f t="shared" si="19"/>
        <v>0</v>
      </c>
      <c r="T25" s="15">
        <f t="shared" si="20"/>
        <v>0</v>
      </c>
      <c r="U25" s="15">
        <f t="shared" si="21"/>
        <v>0</v>
      </c>
      <c r="V25" s="24">
        <f t="shared" ref="V25:W25" si="45">B25+D25+F25+H25+J25+L25+N25+P25+R25+T25</f>
        <v>0</v>
      </c>
      <c r="W25" s="24">
        <f t="shared" si="45"/>
        <v>0</v>
      </c>
      <c r="X25" s="14" t="str">
        <f t="shared" si="23"/>
        <v>—</v>
      </c>
      <c r="Y25" s="14">
        <f t="shared" si="24"/>
        <v>0</v>
      </c>
    </row>
    <row r="26" ht="15.75" customHeight="1">
      <c r="A26" s="23"/>
      <c r="B26" s="15">
        <f t="shared" si="2"/>
        <v>0</v>
      </c>
      <c r="C26" s="15">
        <f t="shared" si="3"/>
        <v>0</v>
      </c>
      <c r="D26" s="15">
        <f t="shared" si="4"/>
        <v>0</v>
      </c>
      <c r="E26" s="15">
        <f t="shared" si="5"/>
        <v>0</v>
      </c>
      <c r="F26" s="15">
        <f t="shared" si="6"/>
        <v>0</v>
      </c>
      <c r="G26" s="15">
        <f t="shared" si="7"/>
        <v>0</v>
      </c>
      <c r="H26" s="15">
        <f t="shared" si="8"/>
        <v>0</v>
      </c>
      <c r="I26" s="15">
        <f t="shared" si="9"/>
        <v>0</v>
      </c>
      <c r="J26" s="15">
        <f t="shared" si="10"/>
        <v>0</v>
      </c>
      <c r="K26" s="15">
        <f t="shared" si="11"/>
        <v>0</v>
      </c>
      <c r="L26" s="15">
        <f t="shared" si="12"/>
        <v>0</v>
      </c>
      <c r="M26" s="15">
        <f t="shared" si="13"/>
        <v>0</v>
      </c>
      <c r="N26" s="15">
        <f t="shared" si="14"/>
        <v>0</v>
      </c>
      <c r="O26" s="15">
        <f t="shared" si="15"/>
        <v>0</v>
      </c>
      <c r="P26" s="15">
        <f t="shared" si="16"/>
        <v>0</v>
      </c>
      <c r="Q26" s="15">
        <f t="shared" si="17"/>
        <v>0</v>
      </c>
      <c r="R26" s="15">
        <f t="shared" si="18"/>
        <v>0</v>
      </c>
      <c r="S26" s="15">
        <f t="shared" si="19"/>
        <v>0</v>
      </c>
      <c r="T26" s="15">
        <f t="shared" si="20"/>
        <v>0</v>
      </c>
      <c r="U26" s="15">
        <f t="shared" si="21"/>
        <v>0</v>
      </c>
      <c r="V26" s="24">
        <f t="shared" ref="V26:W26" si="46">B26+D26+F26+H26+J26+L26+N26+P26+R26+T26</f>
        <v>0</v>
      </c>
      <c r="W26" s="24">
        <f t="shared" si="46"/>
        <v>0</v>
      </c>
      <c r="X26" s="14" t="str">
        <f t="shared" si="23"/>
        <v>—</v>
      </c>
      <c r="Y26" s="14">
        <f t="shared" si="24"/>
        <v>0</v>
      </c>
    </row>
    <row r="27" ht="15.75" customHeight="1">
      <c r="A27" s="23"/>
      <c r="B27" s="15">
        <f t="shared" si="2"/>
        <v>0</v>
      </c>
      <c r="C27" s="15">
        <f t="shared" si="3"/>
        <v>0</v>
      </c>
      <c r="D27" s="15">
        <f t="shared" si="4"/>
        <v>0</v>
      </c>
      <c r="E27" s="15">
        <f t="shared" si="5"/>
        <v>0</v>
      </c>
      <c r="F27" s="15">
        <f t="shared" si="6"/>
        <v>0</v>
      </c>
      <c r="G27" s="15">
        <f t="shared" si="7"/>
        <v>0</v>
      </c>
      <c r="H27" s="15">
        <f t="shared" si="8"/>
        <v>0</v>
      </c>
      <c r="I27" s="15">
        <f t="shared" si="9"/>
        <v>0</v>
      </c>
      <c r="J27" s="15">
        <f t="shared" si="10"/>
        <v>0</v>
      </c>
      <c r="K27" s="15">
        <f t="shared" si="11"/>
        <v>0</v>
      </c>
      <c r="L27" s="15">
        <f t="shared" si="12"/>
        <v>0</v>
      </c>
      <c r="M27" s="15">
        <f t="shared" si="13"/>
        <v>0</v>
      </c>
      <c r="N27" s="15">
        <f t="shared" si="14"/>
        <v>0</v>
      </c>
      <c r="O27" s="15">
        <f t="shared" si="15"/>
        <v>0</v>
      </c>
      <c r="P27" s="15">
        <f t="shared" si="16"/>
        <v>0</v>
      </c>
      <c r="Q27" s="15">
        <f t="shared" si="17"/>
        <v>0</v>
      </c>
      <c r="R27" s="15">
        <f t="shared" si="18"/>
        <v>0</v>
      </c>
      <c r="S27" s="15">
        <f t="shared" si="19"/>
        <v>0</v>
      </c>
      <c r="T27" s="15">
        <f t="shared" si="20"/>
        <v>0</v>
      </c>
      <c r="U27" s="15">
        <f t="shared" si="21"/>
        <v>0</v>
      </c>
      <c r="V27" s="24">
        <f t="shared" ref="V27:W27" si="47">B27+D27+F27+H27+J27+L27+N27+P27+R27+T27</f>
        <v>0</v>
      </c>
      <c r="W27" s="24">
        <f t="shared" si="47"/>
        <v>0</v>
      </c>
      <c r="X27" s="14" t="str">
        <f t="shared" si="23"/>
        <v>—</v>
      </c>
      <c r="Y27" s="14">
        <f t="shared" si="24"/>
        <v>0</v>
      </c>
    </row>
    <row r="28" ht="15.75" customHeight="1">
      <c r="A28" s="23"/>
      <c r="B28" s="15">
        <f t="shared" si="2"/>
        <v>0</v>
      </c>
      <c r="C28" s="15">
        <f t="shared" si="3"/>
        <v>0</v>
      </c>
      <c r="D28" s="15">
        <f t="shared" si="4"/>
        <v>0</v>
      </c>
      <c r="E28" s="15">
        <f t="shared" si="5"/>
        <v>0</v>
      </c>
      <c r="F28" s="15">
        <f t="shared" si="6"/>
        <v>0</v>
      </c>
      <c r="G28" s="15">
        <f t="shared" si="7"/>
        <v>0</v>
      </c>
      <c r="H28" s="15">
        <f t="shared" si="8"/>
        <v>0</v>
      </c>
      <c r="I28" s="15">
        <f t="shared" si="9"/>
        <v>0</v>
      </c>
      <c r="J28" s="15">
        <f t="shared" si="10"/>
        <v>0</v>
      </c>
      <c r="K28" s="15">
        <f t="shared" si="11"/>
        <v>0</v>
      </c>
      <c r="L28" s="15">
        <f t="shared" si="12"/>
        <v>0</v>
      </c>
      <c r="M28" s="15">
        <f t="shared" si="13"/>
        <v>0</v>
      </c>
      <c r="N28" s="15">
        <f t="shared" si="14"/>
        <v>0</v>
      </c>
      <c r="O28" s="15">
        <f t="shared" si="15"/>
        <v>0</v>
      </c>
      <c r="P28" s="15">
        <f t="shared" si="16"/>
        <v>0</v>
      </c>
      <c r="Q28" s="15">
        <f t="shared" si="17"/>
        <v>0</v>
      </c>
      <c r="R28" s="15">
        <f t="shared" si="18"/>
        <v>0</v>
      </c>
      <c r="S28" s="15">
        <f t="shared" si="19"/>
        <v>0</v>
      </c>
      <c r="T28" s="15">
        <f t="shared" si="20"/>
        <v>0</v>
      </c>
      <c r="U28" s="15">
        <f t="shared" si="21"/>
        <v>0</v>
      </c>
      <c r="V28" s="24">
        <f t="shared" ref="V28:W28" si="48">B28+D28+F28+H28+J28+L28+N28+P28+R28+T28</f>
        <v>0</v>
      </c>
      <c r="W28" s="24">
        <f t="shared" si="48"/>
        <v>0</v>
      </c>
      <c r="X28" s="14" t="str">
        <f t="shared" si="23"/>
        <v>—</v>
      </c>
      <c r="Y28" s="14">
        <f t="shared" si="24"/>
        <v>0</v>
      </c>
    </row>
    <row r="29" ht="15.75" customHeight="1">
      <c r="A29" s="23"/>
      <c r="B29" s="15">
        <f t="shared" si="2"/>
        <v>0</v>
      </c>
      <c r="C29" s="15">
        <f t="shared" si="3"/>
        <v>0</v>
      </c>
      <c r="D29" s="15">
        <f t="shared" si="4"/>
        <v>0</v>
      </c>
      <c r="E29" s="15">
        <f t="shared" si="5"/>
        <v>0</v>
      </c>
      <c r="F29" s="15">
        <f t="shared" si="6"/>
        <v>0</v>
      </c>
      <c r="G29" s="15">
        <f t="shared" si="7"/>
        <v>0</v>
      </c>
      <c r="H29" s="15">
        <f t="shared" si="8"/>
        <v>0</v>
      </c>
      <c r="I29" s="15">
        <f t="shared" si="9"/>
        <v>0</v>
      </c>
      <c r="J29" s="15">
        <f t="shared" si="10"/>
        <v>0</v>
      </c>
      <c r="K29" s="15">
        <f t="shared" si="11"/>
        <v>0</v>
      </c>
      <c r="L29" s="15">
        <f t="shared" si="12"/>
        <v>0</v>
      </c>
      <c r="M29" s="15">
        <f t="shared" si="13"/>
        <v>0</v>
      </c>
      <c r="N29" s="15">
        <f t="shared" si="14"/>
        <v>0</v>
      </c>
      <c r="O29" s="15">
        <f t="shared" si="15"/>
        <v>0</v>
      </c>
      <c r="P29" s="15">
        <f t="shared" si="16"/>
        <v>0</v>
      </c>
      <c r="Q29" s="15">
        <f t="shared" si="17"/>
        <v>0</v>
      </c>
      <c r="R29" s="15">
        <f t="shared" si="18"/>
        <v>0</v>
      </c>
      <c r="S29" s="15">
        <f t="shared" si="19"/>
        <v>0</v>
      </c>
      <c r="T29" s="15">
        <f t="shared" si="20"/>
        <v>0</v>
      </c>
      <c r="U29" s="15">
        <f t="shared" si="21"/>
        <v>0</v>
      </c>
      <c r="V29" s="24">
        <f t="shared" ref="V29:W29" si="49">B29+D29+F29+H29+J29+L29+N29+P29+R29+T29</f>
        <v>0</v>
      </c>
      <c r="W29" s="24">
        <f t="shared" si="49"/>
        <v>0</v>
      </c>
      <c r="X29" s="14" t="str">
        <f t="shared" si="23"/>
        <v>—</v>
      </c>
      <c r="Y29" s="14">
        <f t="shared" si="24"/>
        <v>0</v>
      </c>
    </row>
    <row r="30" ht="15.75" customHeight="1">
      <c r="A30" s="23"/>
      <c r="B30" s="15">
        <f t="shared" si="2"/>
        <v>0</v>
      </c>
      <c r="C30" s="15">
        <f t="shared" si="3"/>
        <v>0</v>
      </c>
      <c r="D30" s="15">
        <f t="shared" si="4"/>
        <v>0</v>
      </c>
      <c r="E30" s="15">
        <f t="shared" si="5"/>
        <v>0</v>
      </c>
      <c r="F30" s="15">
        <f t="shared" si="6"/>
        <v>0</v>
      </c>
      <c r="G30" s="15">
        <f t="shared" si="7"/>
        <v>0</v>
      </c>
      <c r="H30" s="15">
        <f t="shared" si="8"/>
        <v>0</v>
      </c>
      <c r="I30" s="15">
        <f t="shared" si="9"/>
        <v>0</v>
      </c>
      <c r="J30" s="15">
        <f t="shared" si="10"/>
        <v>0</v>
      </c>
      <c r="K30" s="15">
        <f t="shared" si="11"/>
        <v>0</v>
      </c>
      <c r="L30" s="15">
        <f t="shared" si="12"/>
        <v>0</v>
      </c>
      <c r="M30" s="15">
        <f t="shared" si="13"/>
        <v>0</v>
      </c>
      <c r="N30" s="15">
        <f t="shared" si="14"/>
        <v>0</v>
      </c>
      <c r="O30" s="15">
        <f t="shared" si="15"/>
        <v>0</v>
      </c>
      <c r="P30" s="15">
        <f t="shared" si="16"/>
        <v>0</v>
      </c>
      <c r="Q30" s="15">
        <f t="shared" si="17"/>
        <v>0</v>
      </c>
      <c r="R30" s="15">
        <f t="shared" si="18"/>
        <v>0</v>
      </c>
      <c r="S30" s="15">
        <f t="shared" si="19"/>
        <v>0</v>
      </c>
      <c r="T30" s="15">
        <f t="shared" si="20"/>
        <v>0</v>
      </c>
      <c r="U30" s="15">
        <f t="shared" si="21"/>
        <v>0</v>
      </c>
      <c r="V30" s="24">
        <f t="shared" ref="V30:W30" si="50">B30+D30+F30+H30+J30+L30+N30+P30+R30+T30</f>
        <v>0</v>
      </c>
      <c r="W30" s="24">
        <f t="shared" si="50"/>
        <v>0</v>
      </c>
      <c r="X30" s="14" t="str">
        <f t="shared" si="23"/>
        <v>—</v>
      </c>
      <c r="Y30" s="14">
        <f t="shared" si="24"/>
        <v>0</v>
      </c>
    </row>
    <row r="31" ht="15.75" customHeight="1">
      <c r="A31" s="7" t="s">
        <v>144</v>
      </c>
      <c r="B31" s="24">
        <f t="shared" ref="B31:W31" si="51">SUM(B3:B30)</f>
        <v>68</v>
      </c>
      <c r="C31" s="24">
        <f t="shared" si="51"/>
        <v>23</v>
      </c>
      <c r="D31" s="24">
        <f t="shared" si="51"/>
        <v>56</v>
      </c>
      <c r="E31" s="24">
        <f t="shared" si="51"/>
        <v>16</v>
      </c>
      <c r="F31" s="24">
        <f t="shared" si="51"/>
        <v>86</v>
      </c>
      <c r="G31" s="24">
        <f t="shared" si="51"/>
        <v>34</v>
      </c>
      <c r="H31" s="24">
        <f t="shared" si="51"/>
        <v>85</v>
      </c>
      <c r="I31" s="24">
        <f t="shared" si="51"/>
        <v>23</v>
      </c>
      <c r="J31" s="24">
        <f t="shared" si="51"/>
        <v>81</v>
      </c>
      <c r="K31" s="24">
        <f t="shared" si="51"/>
        <v>27</v>
      </c>
      <c r="L31" s="24">
        <f t="shared" si="51"/>
        <v>86</v>
      </c>
      <c r="M31" s="24">
        <f t="shared" si="51"/>
        <v>38</v>
      </c>
      <c r="N31" s="24">
        <f t="shared" si="51"/>
        <v>62</v>
      </c>
      <c r="O31" s="24">
        <f t="shared" si="51"/>
        <v>29</v>
      </c>
      <c r="P31" s="24">
        <f t="shared" si="51"/>
        <v>7</v>
      </c>
      <c r="Q31" s="24">
        <f t="shared" si="51"/>
        <v>5</v>
      </c>
      <c r="R31" s="24">
        <f t="shared" si="51"/>
        <v>0</v>
      </c>
      <c r="S31" s="24">
        <f t="shared" si="51"/>
        <v>0</v>
      </c>
      <c r="T31" s="24">
        <f t="shared" si="51"/>
        <v>0</v>
      </c>
      <c r="U31" s="24">
        <f t="shared" si="51"/>
        <v>0</v>
      </c>
      <c r="V31" s="24">
        <f t="shared" si="51"/>
        <v>531</v>
      </c>
      <c r="W31" s="24">
        <f t="shared" si="51"/>
        <v>195</v>
      </c>
      <c r="Y31" s="24">
        <f>SUM(Y3:Y30)</f>
        <v>40</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9" width="12.0"/>
    <col customWidth="1" min="10" max="26" width="8.71"/>
  </cols>
  <sheetData>
    <row r="1">
      <c r="A1" s="4" t="s">
        <v>197</v>
      </c>
      <c r="B1" s="29" t="s">
        <v>191</v>
      </c>
      <c r="C1" s="29" t="s">
        <v>192</v>
      </c>
      <c r="D1" s="29" t="s">
        <v>193</v>
      </c>
      <c r="E1" s="5"/>
      <c r="F1" s="5"/>
      <c r="G1" s="5"/>
      <c r="H1" s="5"/>
      <c r="I1" s="5"/>
    </row>
    <row r="2">
      <c r="A2" s="31" t="s">
        <v>198</v>
      </c>
      <c r="B2" s="32" t="str">
        <f t="shared" ref="B2:D2" si="1">IFERROR(T(INDIRECT("'"&amp;B$1&amp;"'!$Y$12")),"")</f>
        <v>Isaac Mond</v>
      </c>
      <c r="C2" s="32" t="str">
        <f t="shared" si="1"/>
        <v/>
      </c>
      <c r="D2" s="32" t="str">
        <f t="shared" si="1"/>
        <v/>
      </c>
      <c r="E2" s="32"/>
      <c r="F2" s="32"/>
      <c r="G2" s="32"/>
    </row>
    <row r="3">
      <c r="A3" s="30" t="s">
        <v>195</v>
      </c>
      <c r="B3" s="33" t="s">
        <v>199</v>
      </c>
      <c r="C3" s="33" t="s">
        <v>200</v>
      </c>
      <c r="D3" s="33" t="s">
        <v>201</v>
      </c>
      <c r="E3" s="33" t="s">
        <v>202</v>
      </c>
      <c r="F3" s="33" t="s">
        <v>203</v>
      </c>
      <c r="G3" s="33" t="s">
        <v>204</v>
      </c>
    </row>
    <row r="4">
      <c r="A4" s="23" t="s">
        <v>132</v>
      </c>
      <c r="B4" s="34">
        <f t="shared" ref="B4:D4" si="2">IFERROR(INDEX(INDIRECT("'"&amp;B$1&amp;"'!$W$18:$W$45"),MATCH($A4,INDIRECT("'"&amp;B$1&amp;"'!$A$18:$A$45"),0)),0)</f>
        <v>0</v>
      </c>
      <c r="C4" s="34">
        <f t="shared" si="2"/>
        <v>0</v>
      </c>
      <c r="D4" s="34">
        <f t="shared" si="2"/>
        <v>0</v>
      </c>
      <c r="E4" s="20">
        <f t="shared" ref="E4:E31" si="4">SUM(B4:D4)</f>
        <v>0</v>
      </c>
      <c r="F4" s="34">
        <f>SUMIF(Payments!$B:$B,$A4,Payments!$C:$C)</f>
        <v>0</v>
      </c>
      <c r="G4" s="25">
        <f t="shared" ref="G4:G31" si="5">E4-F4</f>
        <v>0</v>
      </c>
    </row>
    <row r="5">
      <c r="A5" s="23" t="s">
        <v>133</v>
      </c>
      <c r="B5" s="34">
        <f t="shared" ref="B5:D5" si="3">IFERROR(INDEX(INDIRECT("'"&amp;B$1&amp;"'!$W$18:$W$45"),MATCH($A5,INDIRECT("'"&amp;B$1&amp;"'!$A$18:$A$45"),0)),0)</f>
        <v>0</v>
      </c>
      <c r="C5" s="34">
        <f t="shared" si="3"/>
        <v>0</v>
      </c>
      <c r="D5" s="34">
        <f t="shared" si="3"/>
        <v>0</v>
      </c>
      <c r="E5" s="20">
        <f t="shared" si="4"/>
        <v>0</v>
      </c>
      <c r="F5" s="34">
        <f>SUMIF(Payments!$B:$B,$A5,Payments!$C:$C)</f>
        <v>0</v>
      </c>
      <c r="G5" s="25">
        <f t="shared" si="5"/>
        <v>0</v>
      </c>
    </row>
    <row r="6">
      <c r="A6" s="23" t="s">
        <v>103</v>
      </c>
      <c r="B6" s="34">
        <f t="shared" ref="B6:D6" si="6">IFERROR(INDEX(INDIRECT("'"&amp;B$1&amp;"'!$W$18:$W$45"),MATCH($A6,INDIRECT("'"&amp;B$1&amp;"'!$A$18:$A$45"),0)),0)</f>
        <v>0</v>
      </c>
      <c r="C6" s="34">
        <f t="shared" si="6"/>
        <v>0</v>
      </c>
      <c r="D6" s="34">
        <f t="shared" si="6"/>
        <v>0</v>
      </c>
      <c r="E6" s="20">
        <f t="shared" si="4"/>
        <v>0</v>
      </c>
      <c r="F6" s="34">
        <f>SUMIF(Payments!$B:$B,$A6,Payments!$C:$C)</f>
        <v>0</v>
      </c>
      <c r="G6" s="25">
        <f t="shared" si="5"/>
        <v>0</v>
      </c>
    </row>
    <row r="7">
      <c r="A7" s="23" t="s">
        <v>110</v>
      </c>
      <c r="B7" s="34">
        <f t="shared" ref="B7:D7" si="7">IFERROR(INDEX(INDIRECT("'"&amp;B$1&amp;"'!$W$18:$W$45"),MATCH($A7,INDIRECT("'"&amp;B$1&amp;"'!$A$18:$A$45"),0)),0)</f>
        <v>11.42142857</v>
      </c>
      <c r="C7" s="34">
        <f t="shared" si="7"/>
        <v>0</v>
      </c>
      <c r="D7" s="34">
        <f t="shared" si="7"/>
        <v>0</v>
      </c>
      <c r="E7" s="20">
        <f t="shared" si="4"/>
        <v>11.42142857</v>
      </c>
      <c r="F7" s="34">
        <f>SUMIF(Payments!$B:$B,$A7,Payments!$C:$C)</f>
        <v>0</v>
      </c>
      <c r="G7" s="25">
        <f t="shared" si="5"/>
        <v>11.42142857</v>
      </c>
    </row>
    <row r="8">
      <c r="A8" s="23" t="s">
        <v>100</v>
      </c>
      <c r="B8" s="34">
        <f t="shared" ref="B8:D8" si="8">IFERROR(INDEX(INDIRECT("'"&amp;B$1&amp;"'!$W$18:$W$45"),MATCH($A8,INDIRECT("'"&amp;B$1&amp;"'!$A$18:$A$45"),0)),0)</f>
        <v>0</v>
      </c>
      <c r="C8" s="34">
        <f t="shared" si="8"/>
        <v>0</v>
      </c>
      <c r="D8" s="34">
        <f t="shared" si="8"/>
        <v>0</v>
      </c>
      <c r="E8" s="20">
        <f t="shared" si="4"/>
        <v>0</v>
      </c>
      <c r="F8" s="34">
        <f>SUMIF(Payments!$B:$B,$A8,Payments!$C:$C)</f>
        <v>0</v>
      </c>
      <c r="G8" s="25">
        <f t="shared" si="5"/>
        <v>0</v>
      </c>
    </row>
    <row r="9">
      <c r="A9" s="23" t="s">
        <v>134</v>
      </c>
      <c r="B9" s="34">
        <f t="shared" ref="B9:D9" si="9">IFERROR(INDEX(INDIRECT("'"&amp;B$1&amp;"'!$W$18:$W$45"),MATCH($A9,INDIRECT("'"&amp;B$1&amp;"'!$A$18:$A$45"),0)),0)</f>
        <v>0</v>
      </c>
      <c r="C9" s="34">
        <f t="shared" si="9"/>
        <v>0</v>
      </c>
      <c r="D9" s="34">
        <f t="shared" si="9"/>
        <v>0</v>
      </c>
      <c r="E9" s="20">
        <f t="shared" si="4"/>
        <v>0</v>
      </c>
      <c r="F9" s="34">
        <f>SUMIF(Payments!$B:$B,$A9,Payments!$C:$C)</f>
        <v>0</v>
      </c>
      <c r="G9" s="25">
        <f t="shared" si="5"/>
        <v>0</v>
      </c>
    </row>
    <row r="10">
      <c r="A10" s="23" t="s">
        <v>135</v>
      </c>
      <c r="B10" s="34">
        <f t="shared" ref="B10:D10" si="10">IFERROR(INDEX(INDIRECT("'"&amp;B$1&amp;"'!$W$18:$W$45"),MATCH($A10,INDIRECT("'"&amp;B$1&amp;"'!$A$18:$A$45"),0)),0)</f>
        <v>0</v>
      </c>
      <c r="C10" s="34">
        <f t="shared" si="10"/>
        <v>0</v>
      </c>
      <c r="D10" s="34">
        <f t="shared" si="10"/>
        <v>0</v>
      </c>
      <c r="E10" s="20">
        <f t="shared" si="4"/>
        <v>0</v>
      </c>
      <c r="F10" s="34">
        <f>SUMIF(Payments!$B:$B,$A10,Payments!$C:$C)</f>
        <v>0</v>
      </c>
      <c r="G10" s="25">
        <f t="shared" si="5"/>
        <v>0</v>
      </c>
    </row>
    <row r="11">
      <c r="A11" s="23" t="s">
        <v>136</v>
      </c>
      <c r="B11" s="34">
        <f t="shared" ref="B11:D11" si="11">IFERROR(INDEX(INDIRECT("'"&amp;B$1&amp;"'!$W$18:$W$45"),MATCH($A11,INDIRECT("'"&amp;B$1&amp;"'!$A$18:$A$45"),0)),0)</f>
        <v>0</v>
      </c>
      <c r="C11" s="34">
        <f t="shared" si="11"/>
        <v>0</v>
      </c>
      <c r="D11" s="34">
        <f t="shared" si="11"/>
        <v>0</v>
      </c>
      <c r="E11" s="20">
        <f t="shared" si="4"/>
        <v>0</v>
      </c>
      <c r="F11" s="34">
        <f>SUMIF(Payments!$B:$B,$A11,Payments!$C:$C)</f>
        <v>0</v>
      </c>
      <c r="G11" s="25">
        <f t="shared" si="5"/>
        <v>0</v>
      </c>
    </row>
    <row r="12">
      <c r="A12" s="23" t="s">
        <v>104</v>
      </c>
      <c r="B12" s="34">
        <f t="shared" ref="B12:D12" si="12">IFERROR(INDEX(INDIRECT("'"&amp;B$1&amp;"'!$W$18:$W$45"),MATCH($A12,INDIRECT("'"&amp;B$1&amp;"'!$A$18:$A$45"),0)),0)</f>
        <v>11.42142857</v>
      </c>
      <c r="C12" s="34">
        <f t="shared" si="12"/>
        <v>0</v>
      </c>
      <c r="D12" s="34">
        <f t="shared" si="12"/>
        <v>0</v>
      </c>
      <c r="E12" s="20">
        <f t="shared" si="4"/>
        <v>11.42142857</v>
      </c>
      <c r="F12" s="34">
        <f>SUMIF(Payments!$B:$B,$A12,Payments!$C:$C)</f>
        <v>0</v>
      </c>
      <c r="G12" s="25">
        <f t="shared" si="5"/>
        <v>11.42142857</v>
      </c>
    </row>
    <row r="13">
      <c r="A13" s="23" t="s">
        <v>137</v>
      </c>
      <c r="B13" s="34">
        <f t="shared" ref="B13:D13" si="13">IFERROR(INDEX(INDIRECT("'"&amp;B$1&amp;"'!$W$18:$W$45"),MATCH($A13,INDIRECT("'"&amp;B$1&amp;"'!$A$18:$A$45"),0)),0)</f>
        <v>0</v>
      </c>
      <c r="C13" s="34">
        <f t="shared" si="13"/>
        <v>0</v>
      </c>
      <c r="D13" s="34">
        <f t="shared" si="13"/>
        <v>0</v>
      </c>
      <c r="E13" s="20">
        <f t="shared" si="4"/>
        <v>0</v>
      </c>
      <c r="F13" s="34">
        <f>SUMIF(Payments!$B:$B,$A13,Payments!$C:$C)</f>
        <v>0</v>
      </c>
      <c r="G13" s="25">
        <f t="shared" si="5"/>
        <v>0</v>
      </c>
    </row>
    <row r="14">
      <c r="A14" s="23" t="s">
        <v>101</v>
      </c>
      <c r="B14" s="34">
        <f t="shared" ref="B14:D14" si="14">IFERROR(INDEX(INDIRECT("'"&amp;B$1&amp;"'!$W$18:$W$45"),MATCH($A14,INDIRECT("'"&amp;B$1&amp;"'!$A$18:$A$45"),0)),0)</f>
        <v>0</v>
      </c>
      <c r="C14" s="34">
        <f t="shared" si="14"/>
        <v>0</v>
      </c>
      <c r="D14" s="34">
        <f t="shared" si="14"/>
        <v>0</v>
      </c>
      <c r="E14" s="20">
        <f t="shared" si="4"/>
        <v>0</v>
      </c>
      <c r="F14" s="34">
        <f>SUMIF(Payments!$B:$B,$A14,Payments!$C:$C)</f>
        <v>0</v>
      </c>
      <c r="G14" s="25">
        <f t="shared" si="5"/>
        <v>0</v>
      </c>
    </row>
    <row r="15">
      <c r="A15" s="23" t="s">
        <v>98</v>
      </c>
      <c r="B15" s="34">
        <f t="shared" ref="B15:D15" si="15">IFERROR(INDEX(INDIRECT("'"&amp;B$1&amp;"'!$W$18:$W$45"),MATCH($A15,INDIRECT("'"&amp;B$1&amp;"'!$A$18:$A$45"),0)),0)</f>
        <v>11.42142857</v>
      </c>
      <c r="C15" s="34">
        <f t="shared" si="15"/>
        <v>0</v>
      </c>
      <c r="D15" s="34">
        <f t="shared" si="15"/>
        <v>0</v>
      </c>
      <c r="E15" s="20">
        <f t="shared" si="4"/>
        <v>11.42142857</v>
      </c>
      <c r="F15" s="34">
        <f>SUMIF(Payments!$B:$B,$A15,Payments!$C:$C)</f>
        <v>0</v>
      </c>
      <c r="G15" s="25">
        <f t="shared" si="5"/>
        <v>11.42142857</v>
      </c>
    </row>
    <row r="16">
      <c r="A16" s="23" t="s">
        <v>138</v>
      </c>
      <c r="B16" s="34">
        <f t="shared" ref="B16:D16" si="16">IFERROR(INDEX(INDIRECT("'"&amp;B$1&amp;"'!$W$18:$W$45"),MATCH($A16,INDIRECT("'"&amp;B$1&amp;"'!$A$18:$A$45"),0)),0)</f>
        <v>0</v>
      </c>
      <c r="C16" s="34">
        <f t="shared" si="16"/>
        <v>0</v>
      </c>
      <c r="D16" s="34">
        <f t="shared" si="16"/>
        <v>0</v>
      </c>
      <c r="E16" s="20">
        <f t="shared" si="4"/>
        <v>0</v>
      </c>
      <c r="F16" s="34">
        <f>SUMIF(Payments!$B:$B,$A16,Payments!$C:$C)</f>
        <v>0</v>
      </c>
      <c r="G16" s="25">
        <f t="shared" si="5"/>
        <v>0</v>
      </c>
    </row>
    <row r="17">
      <c r="A17" s="23" t="s">
        <v>139</v>
      </c>
      <c r="B17" s="34">
        <f t="shared" ref="B17:D17" si="17">IFERROR(INDEX(INDIRECT("'"&amp;B$1&amp;"'!$W$18:$W$45"),MATCH($A17,INDIRECT("'"&amp;B$1&amp;"'!$A$18:$A$45"),0)),0)</f>
        <v>0</v>
      </c>
      <c r="C17" s="34">
        <f t="shared" si="17"/>
        <v>0</v>
      </c>
      <c r="D17" s="34">
        <f t="shared" si="17"/>
        <v>0</v>
      </c>
      <c r="E17" s="20">
        <f t="shared" si="4"/>
        <v>0</v>
      </c>
      <c r="F17" s="34">
        <f>SUMIF(Payments!$B:$B,$A17,Payments!$C:$C)</f>
        <v>0</v>
      </c>
      <c r="G17" s="25">
        <f t="shared" si="5"/>
        <v>0</v>
      </c>
    </row>
    <row r="18">
      <c r="A18" s="23" t="s">
        <v>140</v>
      </c>
      <c r="B18" s="34">
        <f t="shared" ref="B18:D18" si="18">IFERROR(INDEX(INDIRECT("'"&amp;B$1&amp;"'!$W$18:$W$45"),MATCH($A18,INDIRECT("'"&amp;B$1&amp;"'!$A$18:$A$45"),0)),0)</f>
        <v>11.42142857</v>
      </c>
      <c r="C18" s="34">
        <f t="shared" si="18"/>
        <v>0</v>
      </c>
      <c r="D18" s="34">
        <f t="shared" si="18"/>
        <v>0</v>
      </c>
      <c r="E18" s="20">
        <f t="shared" si="4"/>
        <v>11.42142857</v>
      </c>
      <c r="F18" s="34">
        <f>SUMIF(Payments!$B:$B,$A18,Payments!$C:$C)</f>
        <v>0</v>
      </c>
      <c r="G18" s="25">
        <f t="shared" si="5"/>
        <v>11.42142857</v>
      </c>
    </row>
    <row r="19">
      <c r="A19" s="23" t="s">
        <v>141</v>
      </c>
      <c r="B19" s="34">
        <f t="shared" ref="B19:D19" si="19">IFERROR(INDEX(INDIRECT("'"&amp;B$1&amp;"'!$W$18:$W$45"),MATCH($A19,INDIRECT("'"&amp;B$1&amp;"'!$A$18:$A$45"),0)),0)</f>
        <v>0</v>
      </c>
      <c r="C19" s="34">
        <f t="shared" si="19"/>
        <v>0</v>
      </c>
      <c r="D19" s="34">
        <f t="shared" si="19"/>
        <v>0</v>
      </c>
      <c r="E19" s="20">
        <f t="shared" si="4"/>
        <v>0</v>
      </c>
      <c r="F19" s="34">
        <f>SUMIF(Payments!$B:$B,$A19,Payments!$C:$C)</f>
        <v>0</v>
      </c>
      <c r="G19" s="25">
        <f t="shared" si="5"/>
        <v>0</v>
      </c>
    </row>
    <row r="20">
      <c r="A20" s="23" t="s">
        <v>105</v>
      </c>
      <c r="B20" s="34">
        <f t="shared" ref="B20:D20" si="20">IFERROR(INDEX(INDIRECT("'"&amp;B$1&amp;"'!$W$18:$W$45"),MATCH($A20,INDIRECT("'"&amp;B$1&amp;"'!$A$18:$A$45"),0)),0)</f>
        <v>11.42142857</v>
      </c>
      <c r="C20" s="34">
        <f t="shared" si="20"/>
        <v>0</v>
      </c>
      <c r="D20" s="34">
        <f t="shared" si="20"/>
        <v>0</v>
      </c>
      <c r="E20" s="20">
        <f t="shared" si="4"/>
        <v>11.42142857</v>
      </c>
      <c r="F20" s="34">
        <f>SUMIF(Payments!$B:$B,$A20,Payments!$C:$C)</f>
        <v>0</v>
      </c>
      <c r="G20" s="25">
        <f t="shared" si="5"/>
        <v>11.42142857</v>
      </c>
    </row>
    <row r="21" ht="15.75" customHeight="1">
      <c r="A21" s="23" t="s">
        <v>111</v>
      </c>
      <c r="B21" s="34">
        <f t="shared" ref="B21:D21" si="21">IFERROR(INDEX(INDIRECT("'"&amp;B$1&amp;"'!$W$18:$W$45"),MATCH($A21,INDIRECT("'"&amp;B$1&amp;"'!$A$18:$A$45"),0)),0)</f>
        <v>0</v>
      </c>
      <c r="C21" s="34">
        <f t="shared" si="21"/>
        <v>0</v>
      </c>
      <c r="D21" s="34">
        <f t="shared" si="21"/>
        <v>0</v>
      </c>
      <c r="E21" s="20">
        <f t="shared" si="4"/>
        <v>0</v>
      </c>
      <c r="F21" s="34">
        <f>SUMIF(Payments!$B:$B,$A21,Payments!$C:$C)</f>
        <v>0</v>
      </c>
      <c r="G21" s="25">
        <f t="shared" si="5"/>
        <v>0</v>
      </c>
    </row>
    <row r="22" ht="15.75" customHeight="1">
      <c r="A22" s="23" t="s">
        <v>102</v>
      </c>
      <c r="B22" s="34">
        <f t="shared" ref="B22:D22" si="22">IFERROR(INDEX(INDIRECT("'"&amp;B$1&amp;"'!$W$18:$W$45"),MATCH($A22,INDIRECT("'"&amp;B$1&amp;"'!$A$18:$A$45"),0)),0)</f>
        <v>11.42142857</v>
      </c>
      <c r="C22" s="34">
        <f t="shared" si="22"/>
        <v>0</v>
      </c>
      <c r="D22" s="34">
        <f t="shared" si="22"/>
        <v>0</v>
      </c>
      <c r="E22" s="20">
        <f t="shared" si="4"/>
        <v>11.42142857</v>
      </c>
      <c r="F22" s="34">
        <f>SUMIF(Payments!$B:$B,$A22,Payments!$C:$C)</f>
        <v>0</v>
      </c>
      <c r="G22" s="25">
        <f t="shared" si="5"/>
        <v>11.42142857</v>
      </c>
    </row>
    <row r="23" ht="15.75" customHeight="1">
      <c r="A23" s="23" t="s">
        <v>142</v>
      </c>
      <c r="B23" s="34">
        <f t="shared" ref="B23:D23" si="23">IFERROR(INDEX(INDIRECT("'"&amp;B$1&amp;"'!$W$18:$W$45"),MATCH($A23,INDIRECT("'"&amp;B$1&amp;"'!$A$18:$A$45"),0)),0)</f>
        <v>0</v>
      </c>
      <c r="C23" s="34">
        <f t="shared" si="23"/>
        <v>0</v>
      </c>
      <c r="D23" s="34">
        <f t="shared" si="23"/>
        <v>0</v>
      </c>
      <c r="E23" s="20">
        <f t="shared" si="4"/>
        <v>0</v>
      </c>
      <c r="F23" s="34">
        <f>SUMIF(Payments!$B:$B,$A23,Payments!$C:$C)</f>
        <v>0</v>
      </c>
      <c r="G23" s="25">
        <f t="shared" si="5"/>
        <v>0</v>
      </c>
    </row>
    <row r="24" ht="15.75" customHeight="1">
      <c r="A24" s="23" t="s">
        <v>99</v>
      </c>
      <c r="B24" s="34">
        <f t="shared" ref="B24:D24" si="24">IFERROR(INDEX(INDIRECT("'"&amp;B$1&amp;"'!$W$18:$W$45"),MATCH($A24,INDIRECT("'"&amp;B$1&amp;"'!$A$18:$A$45"),0)),0)</f>
        <v>0</v>
      </c>
      <c r="C24" s="34">
        <f t="shared" si="24"/>
        <v>0</v>
      </c>
      <c r="D24" s="34">
        <f t="shared" si="24"/>
        <v>0</v>
      </c>
      <c r="E24" s="20">
        <f t="shared" si="4"/>
        <v>0</v>
      </c>
      <c r="F24" s="34">
        <f>SUMIF(Payments!$B:$B,$A24,Payments!$C:$C)</f>
        <v>0</v>
      </c>
      <c r="G24" s="25">
        <f t="shared" si="5"/>
        <v>0</v>
      </c>
    </row>
    <row r="25" ht="15.75" customHeight="1">
      <c r="A25" s="23" t="s">
        <v>143</v>
      </c>
      <c r="B25" s="34">
        <f t="shared" ref="B25:D25" si="25">IFERROR(INDEX(INDIRECT("'"&amp;B$1&amp;"'!$W$18:$W$45"),MATCH($A25,INDIRECT("'"&amp;B$1&amp;"'!$A$18:$A$45"),0)),0)</f>
        <v>11.42142857</v>
      </c>
      <c r="C25" s="34">
        <f t="shared" si="25"/>
        <v>0</v>
      </c>
      <c r="D25" s="34">
        <f t="shared" si="25"/>
        <v>0</v>
      </c>
      <c r="E25" s="20">
        <f t="shared" si="4"/>
        <v>11.42142857</v>
      </c>
      <c r="F25" s="34">
        <f>SUMIF(Payments!$B:$B,$A25,Payments!$C:$C)</f>
        <v>0</v>
      </c>
      <c r="G25" s="25">
        <f t="shared" si="5"/>
        <v>11.42142857</v>
      </c>
    </row>
    <row r="26" ht="15.75" customHeight="1">
      <c r="A26" s="23"/>
      <c r="B26" s="34">
        <f t="shared" ref="B26:D26" si="26">IFERROR(INDEX(INDIRECT("'"&amp;B$1&amp;"'!$W$18:$W$45"),MATCH($A26,INDIRECT("'"&amp;B$1&amp;"'!$A$18:$A$45"),0)),0)</f>
        <v>0</v>
      </c>
      <c r="C26" s="34">
        <f t="shared" si="26"/>
        <v>0</v>
      </c>
      <c r="D26" s="34">
        <f t="shared" si="26"/>
        <v>0</v>
      </c>
      <c r="E26" s="20">
        <f t="shared" si="4"/>
        <v>0</v>
      </c>
      <c r="F26" s="34">
        <f>SUMIF(Payments!$B:$B,$A26,Payments!$C:$C)</f>
        <v>0</v>
      </c>
      <c r="G26" s="25">
        <f t="shared" si="5"/>
        <v>0</v>
      </c>
    </row>
    <row r="27" ht="15.75" customHeight="1">
      <c r="A27" s="23"/>
      <c r="B27" s="34">
        <f t="shared" ref="B27:D27" si="27">IFERROR(INDEX(INDIRECT("'"&amp;B$1&amp;"'!$W$18:$W$45"),MATCH($A27,INDIRECT("'"&amp;B$1&amp;"'!$A$18:$A$45"),0)),0)</f>
        <v>0</v>
      </c>
      <c r="C27" s="34">
        <f t="shared" si="27"/>
        <v>0</v>
      </c>
      <c r="D27" s="34">
        <f t="shared" si="27"/>
        <v>0</v>
      </c>
      <c r="E27" s="20">
        <f t="shared" si="4"/>
        <v>0</v>
      </c>
      <c r="F27" s="34">
        <f>SUMIF(Payments!$B:$B,$A27,Payments!$C:$C)</f>
        <v>0</v>
      </c>
      <c r="G27" s="25">
        <f t="shared" si="5"/>
        <v>0</v>
      </c>
    </row>
    <row r="28" ht="15.75" customHeight="1">
      <c r="A28" s="23"/>
      <c r="B28" s="34">
        <f t="shared" ref="B28:D28" si="28">IFERROR(INDEX(INDIRECT("'"&amp;B$1&amp;"'!$W$18:$W$45"),MATCH($A28,INDIRECT("'"&amp;B$1&amp;"'!$A$18:$A$45"),0)),0)</f>
        <v>0</v>
      </c>
      <c r="C28" s="34">
        <f t="shared" si="28"/>
        <v>0</v>
      </c>
      <c r="D28" s="34">
        <f t="shared" si="28"/>
        <v>0</v>
      </c>
      <c r="E28" s="20">
        <f t="shared" si="4"/>
        <v>0</v>
      </c>
      <c r="F28" s="34">
        <f>SUMIF(Payments!$B:$B,$A28,Payments!$C:$C)</f>
        <v>0</v>
      </c>
      <c r="G28" s="25">
        <f t="shared" si="5"/>
        <v>0</v>
      </c>
    </row>
    <row r="29" ht="15.75" customHeight="1">
      <c r="A29" s="23"/>
      <c r="B29" s="34">
        <f t="shared" ref="B29:D29" si="29">IFERROR(INDEX(INDIRECT("'"&amp;B$1&amp;"'!$W$18:$W$45"),MATCH($A29,INDIRECT("'"&amp;B$1&amp;"'!$A$18:$A$45"),0)),0)</f>
        <v>0</v>
      </c>
      <c r="C29" s="34">
        <f t="shared" si="29"/>
        <v>0</v>
      </c>
      <c r="D29" s="34">
        <f t="shared" si="29"/>
        <v>0</v>
      </c>
      <c r="E29" s="20">
        <f t="shared" si="4"/>
        <v>0</v>
      </c>
      <c r="F29" s="34">
        <f>SUMIF(Payments!$B:$B,$A29,Payments!$C:$C)</f>
        <v>0</v>
      </c>
      <c r="G29" s="25">
        <f t="shared" si="5"/>
        <v>0</v>
      </c>
    </row>
    <row r="30" ht="15.75" customHeight="1">
      <c r="A30" s="23"/>
      <c r="B30" s="34">
        <f t="shared" ref="B30:D30" si="30">IFERROR(INDEX(INDIRECT("'"&amp;B$1&amp;"'!$W$18:$W$45"),MATCH($A30,INDIRECT("'"&amp;B$1&amp;"'!$A$18:$A$45"),0)),0)</f>
        <v>0</v>
      </c>
      <c r="C30" s="34">
        <f t="shared" si="30"/>
        <v>0</v>
      </c>
      <c r="D30" s="34">
        <f t="shared" si="30"/>
        <v>0</v>
      </c>
      <c r="E30" s="20">
        <f t="shared" si="4"/>
        <v>0</v>
      </c>
      <c r="F30" s="34">
        <f>SUMIF(Payments!$B:$B,$A30,Payments!$C:$C)</f>
        <v>0</v>
      </c>
      <c r="G30" s="25">
        <f t="shared" si="5"/>
        <v>0</v>
      </c>
    </row>
    <row r="31" ht="15.75" customHeight="1">
      <c r="A31" s="23"/>
      <c r="B31" s="34">
        <f t="shared" ref="B31:D31" si="31">IFERROR(INDEX(INDIRECT("'"&amp;B$1&amp;"'!$W$18:$W$45"),MATCH($A31,INDIRECT("'"&amp;B$1&amp;"'!$A$18:$A$45"),0)),0)</f>
        <v>0</v>
      </c>
      <c r="C31" s="34">
        <f t="shared" si="31"/>
        <v>0</v>
      </c>
      <c r="D31" s="34">
        <f t="shared" si="31"/>
        <v>0</v>
      </c>
      <c r="E31" s="20">
        <f t="shared" si="4"/>
        <v>0</v>
      </c>
      <c r="F31" s="34">
        <f>SUMIF(Payments!$B:$B,$A31,Payments!$C:$C)</f>
        <v>0</v>
      </c>
      <c r="G31" s="25">
        <f t="shared" si="5"/>
        <v>0</v>
      </c>
    </row>
    <row r="32" ht="15.75" customHeight="1">
      <c r="A32" s="7" t="s">
        <v>144</v>
      </c>
      <c r="B32" s="25">
        <f t="shared" ref="B32:G32" si="32">SUM(B4:B31)</f>
        <v>79.95</v>
      </c>
      <c r="C32" s="25">
        <f t="shared" si="32"/>
        <v>0</v>
      </c>
      <c r="D32" s="25">
        <f t="shared" si="32"/>
        <v>0</v>
      </c>
      <c r="E32" s="25">
        <f t="shared" si="32"/>
        <v>79.95</v>
      </c>
      <c r="F32" s="25">
        <f t="shared" si="32"/>
        <v>0</v>
      </c>
      <c r="G32" s="25">
        <f t="shared" si="32"/>
        <v>79.95</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6" width="12.0"/>
    <col customWidth="1" min="7" max="26" width="8.71"/>
  </cols>
  <sheetData>
    <row r="1">
      <c r="A1" s="4" t="s">
        <v>205</v>
      </c>
      <c r="B1" s="5"/>
      <c r="C1" s="5"/>
      <c r="D1" s="5"/>
    </row>
    <row r="2">
      <c r="A2" s="6" t="s">
        <v>62</v>
      </c>
      <c r="B2" s="6" t="s">
        <v>195</v>
      </c>
      <c r="C2" s="6" t="s">
        <v>206</v>
      </c>
      <c r="D2" s="6" t="s">
        <v>207</v>
      </c>
      <c r="F2" s="35" t="s">
        <v>208</v>
      </c>
    </row>
    <row r="3">
      <c r="A3" s="36"/>
      <c r="B3" s="23"/>
      <c r="C3" s="37"/>
      <c r="D3" s="23"/>
    </row>
    <row r="4">
      <c r="A4" s="36"/>
      <c r="B4" s="23"/>
      <c r="C4" s="37"/>
      <c r="D4" s="23"/>
    </row>
    <row r="5">
      <c r="A5" s="36"/>
      <c r="B5" s="23"/>
      <c r="C5" s="37"/>
      <c r="D5" s="23"/>
    </row>
    <row r="6">
      <c r="A6" s="36"/>
      <c r="B6" s="23"/>
      <c r="C6" s="37"/>
      <c r="D6" s="23"/>
    </row>
    <row r="7">
      <c r="A7" s="36"/>
      <c r="B7" s="23"/>
      <c r="C7" s="37"/>
      <c r="D7" s="23"/>
    </row>
    <row r="8">
      <c r="A8" s="36"/>
      <c r="B8" s="23"/>
      <c r="C8" s="37"/>
      <c r="D8" s="23"/>
    </row>
    <row r="9">
      <c r="A9" s="36"/>
      <c r="B9" s="23"/>
      <c r="C9" s="37"/>
      <c r="D9" s="23"/>
    </row>
    <row r="10">
      <c r="A10" s="36"/>
      <c r="B10" s="23"/>
      <c r="C10" s="37"/>
      <c r="D10" s="23"/>
    </row>
    <row r="11">
      <c r="A11" s="36"/>
      <c r="B11" s="23"/>
      <c r="C11" s="37"/>
      <c r="D11" s="23"/>
    </row>
    <row r="12">
      <c r="A12" s="36"/>
      <c r="B12" s="23"/>
      <c r="C12" s="37"/>
      <c r="D12" s="23"/>
    </row>
    <row r="13">
      <c r="A13" s="36"/>
      <c r="B13" s="23"/>
      <c r="C13" s="37"/>
      <c r="D13" s="23"/>
    </row>
    <row r="14">
      <c r="A14" s="36"/>
      <c r="B14" s="23"/>
      <c r="C14" s="37"/>
      <c r="D14" s="23"/>
    </row>
    <row r="15">
      <c r="A15" s="36"/>
      <c r="B15" s="23"/>
      <c r="C15" s="37"/>
      <c r="D15" s="23"/>
    </row>
    <row r="16">
      <c r="A16" s="36"/>
      <c r="B16" s="23"/>
      <c r="C16" s="37"/>
      <c r="D16" s="23"/>
    </row>
    <row r="17">
      <c r="A17" s="36"/>
      <c r="B17" s="23"/>
      <c r="C17" s="37"/>
      <c r="D17" s="23"/>
    </row>
    <row r="18">
      <c r="A18" s="36"/>
      <c r="B18" s="23"/>
      <c r="C18" s="37"/>
      <c r="D18" s="23"/>
    </row>
    <row r="19">
      <c r="A19" s="36"/>
      <c r="B19" s="23"/>
      <c r="C19" s="37"/>
      <c r="D19" s="23"/>
    </row>
    <row r="20">
      <c r="A20" s="36"/>
      <c r="B20" s="23"/>
      <c r="C20" s="37"/>
      <c r="D20" s="23"/>
    </row>
    <row r="21" ht="15.75" customHeight="1">
      <c r="A21" s="36"/>
      <c r="B21" s="23"/>
      <c r="C21" s="37"/>
      <c r="D21" s="23"/>
    </row>
    <row r="22" ht="15.75" customHeight="1">
      <c r="A22" s="36"/>
      <c r="B22" s="23"/>
      <c r="C22" s="37"/>
      <c r="D22" s="23"/>
    </row>
    <row r="23" ht="15.75" customHeight="1">
      <c r="A23" s="36"/>
      <c r="B23" s="23"/>
      <c r="C23" s="37"/>
      <c r="D23" s="23"/>
    </row>
    <row r="24" ht="15.75" customHeight="1">
      <c r="A24" s="36"/>
      <c r="B24" s="23"/>
      <c r="C24" s="37"/>
      <c r="D24" s="23"/>
    </row>
    <row r="25" ht="15.75" customHeight="1">
      <c r="A25" s="36"/>
      <c r="B25" s="23"/>
      <c r="C25" s="37"/>
      <c r="D25" s="23"/>
    </row>
    <row r="26" ht="15.75" customHeight="1">
      <c r="A26" s="36"/>
      <c r="B26" s="23"/>
      <c r="C26" s="37"/>
      <c r="D26" s="23"/>
    </row>
    <row r="27" ht="15.75" customHeight="1">
      <c r="A27" s="36"/>
      <c r="B27" s="23"/>
      <c r="C27" s="37"/>
      <c r="D27" s="23"/>
    </row>
    <row r="28" ht="15.75" customHeight="1">
      <c r="A28" s="36"/>
      <c r="B28" s="23"/>
      <c r="C28" s="37"/>
      <c r="D28" s="23"/>
    </row>
    <row r="29" ht="15.75" customHeight="1">
      <c r="A29" s="36"/>
      <c r="B29" s="23"/>
      <c r="C29" s="37"/>
      <c r="D29" s="23"/>
    </row>
    <row r="30" ht="15.75" customHeight="1">
      <c r="A30" s="36"/>
      <c r="B30" s="23"/>
      <c r="C30" s="37"/>
      <c r="D30" s="23"/>
    </row>
    <row r="31" ht="15.75" customHeight="1">
      <c r="A31" s="36"/>
      <c r="B31" s="23"/>
      <c r="C31" s="37"/>
      <c r="D31" s="23"/>
    </row>
    <row r="32" ht="15.75" customHeight="1">
      <c r="A32" s="36"/>
      <c r="B32" s="23"/>
      <c r="C32" s="37"/>
      <c r="D32" s="23"/>
    </row>
    <row r="33" ht="15.75" customHeight="1">
      <c r="A33" s="36"/>
      <c r="B33" s="23"/>
      <c r="C33" s="37"/>
      <c r="D33" s="23"/>
    </row>
    <row r="34" ht="15.75" customHeight="1">
      <c r="A34" s="36"/>
      <c r="B34" s="23"/>
      <c r="C34" s="37"/>
      <c r="D34" s="23"/>
    </row>
    <row r="35" ht="15.75" customHeight="1">
      <c r="A35" s="36"/>
      <c r="B35" s="23"/>
      <c r="C35" s="37"/>
      <c r="D35" s="23"/>
    </row>
    <row r="36" ht="15.75" customHeight="1">
      <c r="A36" s="36"/>
      <c r="B36" s="23"/>
      <c r="C36" s="37"/>
      <c r="D36" s="23"/>
    </row>
    <row r="37" ht="15.75" customHeight="1">
      <c r="A37" s="36"/>
      <c r="B37" s="23"/>
      <c r="C37" s="37"/>
      <c r="D37" s="23"/>
    </row>
    <row r="38" ht="15.75" customHeight="1">
      <c r="A38" s="36"/>
      <c r="B38" s="23"/>
      <c r="C38" s="37"/>
      <c r="D38" s="23"/>
    </row>
    <row r="39" ht="15.75" customHeight="1">
      <c r="A39" s="36"/>
      <c r="B39" s="23"/>
      <c r="C39" s="37"/>
      <c r="D39" s="23"/>
    </row>
    <row r="40" ht="15.75" customHeight="1">
      <c r="A40" s="36"/>
      <c r="B40" s="23"/>
      <c r="C40" s="37"/>
      <c r="D40" s="23"/>
    </row>
    <row r="41" ht="15.75" customHeight="1">
      <c r="A41" s="36"/>
      <c r="B41" s="23"/>
      <c r="C41" s="37"/>
      <c r="D41" s="23"/>
    </row>
    <row r="42" ht="15.75" customHeight="1">
      <c r="A42" s="36"/>
      <c r="B42" s="23"/>
      <c r="C42" s="37"/>
      <c r="D42" s="23"/>
    </row>
    <row r="43" ht="15.75" customHeight="1">
      <c r="A43" s="36"/>
      <c r="B43" s="23"/>
      <c r="C43" s="37"/>
      <c r="D43" s="23"/>
    </row>
    <row r="44" ht="15.75" customHeight="1">
      <c r="A44" s="36"/>
      <c r="B44" s="23"/>
      <c r="C44" s="37"/>
      <c r="D44" s="23"/>
    </row>
    <row r="45" ht="15.75" customHeight="1">
      <c r="A45" s="36"/>
      <c r="B45" s="23"/>
      <c r="C45" s="37"/>
      <c r="D45" s="23"/>
    </row>
    <row r="46" ht="15.75" customHeight="1">
      <c r="A46" s="36"/>
      <c r="B46" s="23"/>
      <c r="C46" s="37"/>
      <c r="D46" s="23"/>
    </row>
    <row r="47" ht="15.75" customHeight="1">
      <c r="A47" s="36"/>
      <c r="B47" s="23"/>
      <c r="C47" s="37"/>
      <c r="D47" s="23"/>
    </row>
    <row r="48" ht="15.75" customHeight="1">
      <c r="A48" s="36"/>
      <c r="B48" s="23"/>
      <c r="C48" s="37"/>
      <c r="D48" s="23"/>
    </row>
    <row r="49" ht="15.75" customHeight="1">
      <c r="A49" s="36"/>
      <c r="B49" s="23"/>
      <c r="C49" s="37"/>
      <c r="D49" s="23"/>
    </row>
    <row r="50" ht="15.75" customHeight="1">
      <c r="A50" s="36"/>
      <c r="B50" s="23"/>
      <c r="C50" s="37"/>
      <c r="D50" s="23"/>
    </row>
    <row r="51" ht="15.75" customHeight="1">
      <c r="A51" s="36"/>
      <c r="B51" s="23"/>
      <c r="C51" s="37"/>
      <c r="D51" s="23"/>
    </row>
    <row r="52" ht="15.75" customHeight="1">
      <c r="A52" s="36"/>
      <c r="B52" s="23"/>
      <c r="C52" s="37"/>
      <c r="D52" s="23"/>
    </row>
    <row r="53" ht="15.75" customHeight="1">
      <c r="A53" s="36"/>
      <c r="B53" s="23"/>
      <c r="C53" s="37"/>
      <c r="D53" s="23"/>
    </row>
    <row r="54" ht="15.75" customHeight="1">
      <c r="A54" s="36"/>
      <c r="B54" s="23"/>
      <c r="C54" s="37"/>
      <c r="D54" s="23"/>
    </row>
    <row r="55" ht="15.75" customHeight="1">
      <c r="A55" s="36"/>
      <c r="B55" s="23"/>
      <c r="C55" s="37"/>
      <c r="D55" s="23"/>
    </row>
    <row r="56" ht="15.75" customHeight="1">
      <c r="A56" s="36"/>
      <c r="B56" s="23"/>
      <c r="C56" s="37"/>
      <c r="D56" s="23"/>
    </row>
    <row r="57" ht="15.75" customHeight="1">
      <c r="A57" s="36"/>
      <c r="B57" s="23"/>
      <c r="C57" s="37"/>
      <c r="D57" s="23"/>
    </row>
    <row r="58" ht="15.75" customHeight="1">
      <c r="A58" s="36"/>
      <c r="B58" s="23"/>
      <c r="C58" s="37"/>
      <c r="D58" s="23"/>
    </row>
    <row r="59" ht="15.75" customHeight="1">
      <c r="A59" s="36"/>
      <c r="B59" s="23"/>
      <c r="C59" s="37"/>
      <c r="D59" s="23"/>
    </row>
    <row r="60" ht="15.75" customHeight="1">
      <c r="A60" s="36"/>
      <c r="B60" s="23"/>
      <c r="C60" s="37"/>
      <c r="D60" s="23"/>
    </row>
    <row r="61" ht="15.75" customHeight="1">
      <c r="A61" s="36"/>
      <c r="B61" s="23"/>
      <c r="C61" s="37"/>
      <c r="D61" s="23"/>
    </row>
    <row r="62" ht="15.75" customHeight="1">
      <c r="A62" s="36"/>
      <c r="B62" s="23"/>
      <c r="C62" s="37"/>
      <c r="D62" s="23"/>
    </row>
    <row r="63" ht="15.75" customHeight="1">
      <c r="A63" s="36"/>
      <c r="B63" s="23"/>
      <c r="C63" s="37"/>
      <c r="D63" s="23"/>
    </row>
    <row r="64" ht="15.75" customHeight="1">
      <c r="A64" s="36"/>
      <c r="B64" s="23"/>
      <c r="C64" s="37"/>
      <c r="D64" s="23"/>
    </row>
    <row r="65" ht="15.75" customHeight="1">
      <c r="A65" s="36"/>
      <c r="B65" s="23"/>
      <c r="C65" s="37"/>
      <c r="D65" s="23"/>
    </row>
    <row r="66" ht="15.75" customHeight="1">
      <c r="A66" s="36"/>
      <c r="B66" s="23"/>
      <c r="C66" s="37"/>
      <c r="D66" s="23"/>
    </row>
    <row r="67" ht="15.75" customHeight="1">
      <c r="A67" s="36"/>
      <c r="B67" s="23"/>
      <c r="C67" s="37"/>
      <c r="D67" s="23"/>
    </row>
    <row r="68" ht="15.75" customHeight="1">
      <c r="A68" s="36"/>
      <c r="B68" s="23"/>
      <c r="C68" s="37"/>
      <c r="D68" s="23"/>
    </row>
    <row r="69" ht="15.75" customHeight="1">
      <c r="A69" s="36"/>
      <c r="B69" s="23"/>
      <c r="C69" s="37"/>
      <c r="D69" s="23"/>
    </row>
    <row r="70" ht="15.75" customHeight="1">
      <c r="A70" s="36"/>
      <c r="B70" s="23"/>
      <c r="C70" s="37"/>
      <c r="D70" s="23"/>
    </row>
    <row r="71" ht="15.75" customHeight="1">
      <c r="A71" s="36"/>
      <c r="B71" s="23"/>
      <c r="C71" s="37"/>
      <c r="D71" s="23"/>
    </row>
    <row r="72" ht="15.75" customHeight="1">
      <c r="A72" s="36"/>
      <c r="B72" s="23"/>
      <c r="C72" s="37"/>
      <c r="D72" s="23"/>
    </row>
    <row r="73" ht="15.75" customHeight="1">
      <c r="A73" s="36"/>
      <c r="B73" s="23"/>
      <c r="C73" s="37"/>
      <c r="D73" s="23"/>
    </row>
    <row r="74" ht="15.75" customHeight="1">
      <c r="A74" s="36"/>
      <c r="B74" s="23"/>
      <c r="C74" s="37"/>
      <c r="D74" s="23"/>
    </row>
    <row r="75" ht="15.75" customHeight="1">
      <c r="A75" s="36"/>
      <c r="B75" s="23"/>
      <c r="C75" s="37"/>
      <c r="D75" s="23"/>
    </row>
    <row r="76" ht="15.75" customHeight="1">
      <c r="A76" s="36"/>
      <c r="B76" s="23"/>
      <c r="C76" s="37"/>
      <c r="D76" s="23"/>
    </row>
    <row r="77" ht="15.75" customHeight="1">
      <c r="A77" s="36"/>
      <c r="B77" s="23"/>
      <c r="C77" s="37"/>
      <c r="D77" s="23"/>
    </row>
    <row r="78" ht="15.75" customHeight="1">
      <c r="A78" s="36"/>
      <c r="B78" s="23"/>
      <c r="C78" s="37"/>
      <c r="D78" s="23"/>
    </row>
    <row r="79" ht="15.75" customHeight="1">
      <c r="A79" s="36"/>
      <c r="B79" s="23"/>
      <c r="C79" s="37"/>
      <c r="D79" s="23"/>
    </row>
    <row r="80" ht="15.75" customHeight="1">
      <c r="A80" s="36"/>
      <c r="B80" s="23"/>
      <c r="C80" s="37"/>
      <c r="D80" s="23"/>
    </row>
    <row r="81" ht="15.75" customHeight="1">
      <c r="A81" s="36"/>
      <c r="B81" s="23"/>
      <c r="C81" s="37"/>
      <c r="D81" s="23"/>
    </row>
    <row r="82" ht="15.75" customHeight="1">
      <c r="A82" s="36"/>
      <c r="B82" s="23"/>
      <c r="C82" s="37"/>
      <c r="D82" s="23"/>
    </row>
    <row r="83" ht="15.75" customHeight="1">
      <c r="A83" s="36"/>
      <c r="B83" s="23"/>
      <c r="C83" s="37"/>
      <c r="D83" s="23"/>
    </row>
    <row r="84" ht="15.75" customHeight="1">
      <c r="A84" s="36"/>
      <c r="B84" s="23"/>
      <c r="C84" s="37"/>
      <c r="D84" s="23"/>
    </row>
    <row r="85" ht="15.75" customHeight="1">
      <c r="A85" s="36"/>
      <c r="B85" s="23"/>
      <c r="C85" s="37"/>
      <c r="D85" s="23"/>
    </row>
    <row r="86" ht="15.75" customHeight="1">
      <c r="A86" s="36"/>
      <c r="B86" s="23"/>
      <c r="C86" s="37"/>
      <c r="D86" s="23"/>
    </row>
    <row r="87" ht="15.75" customHeight="1">
      <c r="A87" s="36"/>
      <c r="B87" s="23"/>
      <c r="C87" s="37"/>
      <c r="D87" s="23"/>
    </row>
    <row r="88" ht="15.75" customHeight="1">
      <c r="A88" s="36"/>
      <c r="B88" s="23"/>
      <c r="C88" s="37"/>
      <c r="D88" s="23"/>
    </row>
    <row r="89" ht="15.75" customHeight="1">
      <c r="A89" s="36"/>
      <c r="B89" s="23"/>
      <c r="C89" s="37"/>
      <c r="D89" s="23"/>
    </row>
    <row r="90" ht="15.75" customHeight="1">
      <c r="A90" s="36"/>
      <c r="B90" s="23"/>
      <c r="C90" s="37"/>
      <c r="D90" s="23"/>
    </row>
    <row r="91" ht="15.75" customHeight="1">
      <c r="A91" s="36"/>
      <c r="B91" s="23"/>
      <c r="C91" s="37"/>
      <c r="D91" s="23"/>
    </row>
    <row r="92" ht="15.75" customHeight="1">
      <c r="A92" s="36"/>
      <c r="B92" s="23"/>
      <c r="C92" s="37"/>
      <c r="D92" s="23"/>
    </row>
    <row r="93" ht="15.75" customHeight="1">
      <c r="A93" s="36"/>
      <c r="B93" s="23"/>
      <c r="C93" s="37"/>
      <c r="D93" s="23"/>
    </row>
    <row r="94" ht="15.75" customHeight="1">
      <c r="A94" s="36"/>
      <c r="B94" s="23"/>
      <c r="C94" s="37"/>
      <c r="D94" s="23"/>
    </row>
    <row r="95" ht="15.75" customHeight="1">
      <c r="A95" s="36"/>
      <c r="B95" s="23"/>
      <c r="C95" s="37"/>
      <c r="D95" s="23"/>
    </row>
    <row r="96" ht="15.75" customHeight="1">
      <c r="A96" s="36"/>
      <c r="B96" s="23"/>
      <c r="C96" s="37"/>
      <c r="D96" s="23"/>
    </row>
    <row r="97" ht="15.75" customHeight="1">
      <c r="A97" s="36"/>
      <c r="B97" s="23"/>
      <c r="C97" s="37"/>
      <c r="D97" s="23"/>
    </row>
    <row r="98" ht="15.75" customHeight="1">
      <c r="A98" s="36"/>
      <c r="B98" s="23"/>
      <c r="C98" s="37"/>
      <c r="D98" s="23"/>
    </row>
    <row r="99" ht="15.75" customHeight="1">
      <c r="A99" s="36"/>
      <c r="B99" s="23"/>
      <c r="C99" s="37"/>
      <c r="D99" s="23"/>
    </row>
    <row r="100" ht="15.75" customHeight="1">
      <c r="A100" s="36"/>
      <c r="B100" s="23"/>
      <c r="C100" s="37"/>
      <c r="D100" s="23"/>
    </row>
    <row r="101" ht="15.75" customHeight="1">
      <c r="A101" s="36"/>
      <c r="B101" s="23"/>
      <c r="C101" s="37"/>
      <c r="D101" s="23"/>
    </row>
    <row r="102" ht="15.75" customHeight="1">
      <c r="A102" s="36"/>
      <c r="B102" s="23"/>
      <c r="C102" s="37"/>
      <c r="D102" s="23"/>
    </row>
    <row r="103" ht="15.75" customHeight="1">
      <c r="A103" s="36"/>
      <c r="B103" s="23"/>
      <c r="C103" s="37"/>
      <c r="D103" s="23"/>
    </row>
    <row r="104" ht="15.75" customHeight="1">
      <c r="A104" s="36"/>
      <c r="B104" s="23"/>
      <c r="C104" s="37"/>
      <c r="D104" s="23"/>
    </row>
    <row r="105" ht="15.75" customHeight="1">
      <c r="A105" s="36"/>
      <c r="B105" s="23"/>
      <c r="C105" s="37"/>
      <c r="D105" s="23"/>
    </row>
    <row r="106" ht="15.75" customHeight="1">
      <c r="A106" s="36"/>
      <c r="B106" s="23"/>
      <c r="C106" s="37"/>
      <c r="D106" s="23"/>
    </row>
    <row r="107" ht="15.75" customHeight="1">
      <c r="A107" s="36"/>
      <c r="B107" s="23"/>
      <c r="C107" s="37"/>
      <c r="D107" s="23"/>
    </row>
    <row r="108" ht="15.75" customHeight="1">
      <c r="A108" s="36"/>
      <c r="B108" s="23"/>
      <c r="C108" s="37"/>
      <c r="D108" s="23"/>
    </row>
    <row r="109" ht="15.75" customHeight="1">
      <c r="A109" s="36"/>
      <c r="B109" s="23"/>
      <c r="C109" s="37"/>
      <c r="D109" s="23"/>
    </row>
    <row r="110" ht="15.75" customHeight="1">
      <c r="A110" s="36"/>
      <c r="B110" s="23"/>
      <c r="C110" s="37"/>
      <c r="D110" s="23"/>
    </row>
    <row r="111" ht="15.75" customHeight="1">
      <c r="A111" s="36"/>
      <c r="B111" s="23"/>
      <c r="C111" s="37"/>
      <c r="D111" s="23"/>
    </row>
    <row r="112" ht="15.75" customHeight="1">
      <c r="A112" s="36"/>
      <c r="B112" s="23"/>
      <c r="C112" s="37"/>
      <c r="D112" s="23"/>
    </row>
    <row r="113" ht="15.75" customHeight="1">
      <c r="A113" s="36"/>
      <c r="B113" s="23"/>
      <c r="C113" s="37"/>
      <c r="D113" s="23"/>
    </row>
    <row r="114" ht="15.75" customHeight="1">
      <c r="A114" s="36"/>
      <c r="B114" s="23"/>
      <c r="C114" s="37"/>
      <c r="D114" s="23"/>
    </row>
    <row r="115" ht="15.75" customHeight="1">
      <c r="A115" s="36"/>
      <c r="B115" s="23"/>
      <c r="C115" s="37"/>
      <c r="D115" s="23"/>
    </row>
    <row r="116" ht="15.75" customHeight="1">
      <c r="A116" s="36"/>
      <c r="B116" s="23"/>
      <c r="C116" s="37"/>
      <c r="D116" s="23"/>
    </row>
    <row r="117" ht="15.75" customHeight="1">
      <c r="A117" s="36"/>
      <c r="B117" s="23"/>
      <c r="C117" s="37"/>
      <c r="D117" s="23"/>
    </row>
    <row r="118" ht="15.75" customHeight="1">
      <c r="A118" s="36"/>
      <c r="B118" s="23"/>
      <c r="C118" s="37"/>
      <c r="D118" s="23"/>
    </row>
    <row r="119" ht="15.75" customHeight="1">
      <c r="A119" s="36"/>
      <c r="B119" s="23"/>
      <c r="C119" s="37"/>
      <c r="D119" s="23"/>
    </row>
    <row r="120" ht="15.75" customHeight="1">
      <c r="A120" s="36"/>
      <c r="B120" s="23"/>
      <c r="C120" s="37"/>
      <c r="D120" s="23"/>
    </row>
    <row r="121" ht="15.75" customHeight="1">
      <c r="A121" s="36"/>
      <c r="B121" s="23"/>
      <c r="C121" s="37"/>
      <c r="D121" s="23"/>
    </row>
    <row r="122" ht="15.75" customHeight="1">
      <c r="A122" s="36"/>
      <c r="B122" s="23"/>
      <c r="C122" s="37"/>
      <c r="D122" s="23"/>
    </row>
    <row r="123" ht="15.75" customHeight="1">
      <c r="A123" s="36"/>
      <c r="B123" s="23"/>
      <c r="C123" s="37"/>
      <c r="D123" s="23"/>
    </row>
    <row r="124" ht="15.75" customHeight="1">
      <c r="A124" s="36"/>
      <c r="B124" s="23"/>
      <c r="C124" s="37"/>
      <c r="D124" s="23"/>
    </row>
    <row r="125" ht="15.75" customHeight="1">
      <c r="A125" s="36"/>
      <c r="B125" s="23"/>
      <c r="C125" s="37"/>
      <c r="D125" s="23"/>
    </row>
    <row r="126" ht="15.75" customHeight="1">
      <c r="A126" s="36"/>
      <c r="B126" s="23"/>
      <c r="C126" s="37"/>
      <c r="D126" s="23"/>
    </row>
    <row r="127" ht="15.75" customHeight="1">
      <c r="A127" s="36"/>
      <c r="B127" s="23"/>
      <c r="C127" s="37"/>
      <c r="D127" s="23"/>
    </row>
    <row r="128" ht="15.75" customHeight="1">
      <c r="A128" s="36"/>
      <c r="B128" s="23"/>
      <c r="C128" s="37"/>
      <c r="D128" s="23"/>
    </row>
    <row r="129" ht="15.75" customHeight="1">
      <c r="A129" s="36"/>
      <c r="B129" s="23"/>
      <c r="C129" s="37"/>
      <c r="D129" s="23"/>
    </row>
    <row r="130" ht="15.75" customHeight="1">
      <c r="A130" s="36"/>
      <c r="B130" s="23"/>
      <c r="C130" s="37"/>
      <c r="D130" s="23"/>
    </row>
    <row r="131" ht="15.75" customHeight="1">
      <c r="A131" s="36"/>
      <c r="B131" s="23"/>
      <c r="C131" s="37"/>
      <c r="D131" s="23"/>
    </row>
    <row r="132" ht="15.75" customHeight="1">
      <c r="A132" s="36"/>
      <c r="B132" s="23"/>
      <c r="C132" s="37"/>
      <c r="D132" s="23"/>
    </row>
    <row r="133" ht="15.75" customHeight="1">
      <c r="A133" s="36"/>
      <c r="B133" s="23"/>
      <c r="C133" s="37"/>
      <c r="D133" s="23"/>
    </row>
    <row r="134" ht="15.75" customHeight="1">
      <c r="A134" s="36"/>
      <c r="B134" s="23"/>
      <c r="C134" s="37"/>
      <c r="D134" s="23"/>
    </row>
    <row r="135" ht="15.75" customHeight="1">
      <c r="A135" s="36"/>
      <c r="B135" s="23"/>
      <c r="C135" s="37"/>
      <c r="D135" s="23"/>
    </row>
    <row r="136" ht="15.75" customHeight="1">
      <c r="A136" s="36"/>
      <c r="B136" s="23"/>
      <c r="C136" s="37"/>
      <c r="D136" s="23"/>
    </row>
    <row r="137" ht="15.75" customHeight="1">
      <c r="A137" s="36"/>
      <c r="B137" s="23"/>
      <c r="C137" s="37"/>
      <c r="D137" s="23"/>
    </row>
    <row r="138" ht="15.75" customHeight="1">
      <c r="A138" s="36"/>
      <c r="B138" s="23"/>
      <c r="C138" s="37"/>
      <c r="D138" s="23"/>
    </row>
    <row r="139" ht="15.75" customHeight="1">
      <c r="A139" s="36"/>
      <c r="B139" s="23"/>
      <c r="C139" s="37"/>
      <c r="D139" s="23"/>
    </row>
    <row r="140" ht="15.75" customHeight="1">
      <c r="A140" s="36"/>
      <c r="B140" s="23"/>
      <c r="C140" s="37"/>
      <c r="D140" s="23"/>
    </row>
    <row r="141" ht="15.75" customHeight="1">
      <c r="A141" s="36"/>
      <c r="B141" s="23"/>
      <c r="C141" s="37"/>
      <c r="D141" s="23"/>
    </row>
    <row r="142" ht="15.75" customHeight="1">
      <c r="A142" s="36"/>
      <c r="B142" s="23"/>
      <c r="C142" s="37"/>
      <c r="D142" s="23"/>
    </row>
    <row r="143" ht="15.75" customHeight="1">
      <c r="A143" s="36"/>
      <c r="B143" s="23"/>
      <c r="C143" s="37"/>
      <c r="D143" s="23"/>
    </row>
    <row r="144" ht="15.75" customHeight="1">
      <c r="A144" s="36"/>
      <c r="B144" s="23"/>
      <c r="C144" s="37"/>
      <c r="D144" s="23"/>
    </row>
    <row r="145" ht="15.75" customHeight="1">
      <c r="A145" s="36"/>
      <c r="B145" s="23"/>
      <c r="C145" s="37"/>
      <c r="D145" s="23"/>
    </row>
    <row r="146" ht="15.75" customHeight="1">
      <c r="A146" s="36"/>
      <c r="B146" s="23"/>
      <c r="C146" s="37"/>
      <c r="D146" s="23"/>
    </row>
    <row r="147" ht="15.75" customHeight="1">
      <c r="A147" s="36"/>
      <c r="B147" s="23"/>
      <c r="C147" s="37"/>
      <c r="D147" s="23"/>
    </row>
    <row r="148" ht="15.75" customHeight="1">
      <c r="A148" s="36"/>
      <c r="B148" s="23"/>
      <c r="C148" s="37"/>
      <c r="D148" s="23"/>
    </row>
    <row r="149" ht="15.75" customHeight="1">
      <c r="A149" s="36"/>
      <c r="B149" s="23"/>
      <c r="C149" s="37"/>
      <c r="D149" s="23"/>
    </row>
    <row r="150" ht="15.75" customHeight="1">
      <c r="A150" s="36"/>
      <c r="B150" s="23"/>
      <c r="C150" s="37"/>
      <c r="D150" s="23"/>
    </row>
    <row r="151" ht="15.75" customHeight="1">
      <c r="A151" s="36"/>
      <c r="B151" s="23"/>
      <c r="C151" s="37"/>
      <c r="D151" s="23"/>
    </row>
    <row r="152" ht="15.75" customHeight="1">
      <c r="A152" s="36"/>
      <c r="B152" s="23"/>
      <c r="C152" s="37"/>
      <c r="D152" s="23"/>
    </row>
    <row r="153" ht="15.75" customHeight="1">
      <c r="A153" s="36"/>
      <c r="B153" s="23"/>
      <c r="C153" s="37"/>
      <c r="D153" s="23"/>
    </row>
    <row r="154" ht="15.75" customHeight="1">
      <c r="A154" s="36"/>
      <c r="B154" s="23"/>
      <c r="C154" s="37"/>
      <c r="D154" s="23"/>
    </row>
    <row r="155" ht="15.75" customHeight="1">
      <c r="A155" s="36"/>
      <c r="B155" s="23"/>
      <c r="C155" s="37"/>
      <c r="D155" s="23"/>
    </row>
    <row r="156" ht="15.75" customHeight="1">
      <c r="A156" s="36"/>
      <c r="B156" s="23"/>
      <c r="C156" s="37"/>
      <c r="D156" s="23"/>
    </row>
    <row r="157" ht="15.75" customHeight="1">
      <c r="A157" s="36"/>
      <c r="B157" s="23"/>
      <c r="C157" s="37"/>
      <c r="D157" s="23"/>
    </row>
    <row r="158" ht="15.75" customHeight="1">
      <c r="A158" s="36"/>
      <c r="B158" s="23"/>
      <c r="C158" s="37"/>
      <c r="D158" s="23"/>
    </row>
    <row r="159" ht="15.75" customHeight="1">
      <c r="A159" s="36"/>
      <c r="B159" s="23"/>
      <c r="C159" s="37"/>
      <c r="D159" s="23"/>
    </row>
    <row r="160" ht="15.75" customHeight="1">
      <c r="A160" s="36"/>
      <c r="B160" s="23"/>
      <c r="C160" s="37"/>
      <c r="D160" s="23"/>
    </row>
    <row r="161" ht="15.75" customHeight="1">
      <c r="A161" s="36"/>
      <c r="B161" s="23"/>
      <c r="C161" s="37"/>
      <c r="D161" s="23"/>
    </row>
    <row r="162" ht="15.75" customHeight="1">
      <c r="A162" s="36"/>
      <c r="B162" s="23"/>
      <c r="C162" s="37"/>
      <c r="D162" s="23"/>
    </row>
    <row r="163" ht="15.75" customHeight="1">
      <c r="A163" s="36"/>
      <c r="B163" s="23"/>
      <c r="C163" s="37"/>
      <c r="D163" s="23"/>
    </row>
    <row r="164" ht="15.75" customHeight="1">
      <c r="A164" s="36"/>
      <c r="B164" s="23"/>
      <c r="C164" s="37"/>
      <c r="D164" s="23"/>
    </row>
    <row r="165" ht="15.75" customHeight="1">
      <c r="A165" s="36"/>
      <c r="B165" s="23"/>
      <c r="C165" s="37"/>
      <c r="D165" s="23"/>
    </row>
    <row r="166" ht="15.75" customHeight="1">
      <c r="A166" s="36"/>
      <c r="B166" s="23"/>
      <c r="C166" s="37"/>
      <c r="D166" s="23"/>
    </row>
    <row r="167" ht="15.75" customHeight="1">
      <c r="A167" s="36"/>
      <c r="B167" s="23"/>
      <c r="C167" s="37"/>
      <c r="D167" s="23"/>
    </row>
    <row r="168" ht="15.75" customHeight="1">
      <c r="A168" s="36"/>
      <c r="B168" s="23"/>
      <c r="C168" s="37"/>
      <c r="D168" s="23"/>
    </row>
    <row r="169" ht="15.75" customHeight="1">
      <c r="A169" s="36"/>
      <c r="B169" s="23"/>
      <c r="C169" s="37"/>
      <c r="D169" s="23"/>
    </row>
    <row r="170" ht="15.75" customHeight="1">
      <c r="A170" s="36"/>
      <c r="B170" s="23"/>
      <c r="C170" s="37"/>
      <c r="D170" s="23"/>
    </row>
    <row r="171" ht="15.75" customHeight="1">
      <c r="A171" s="36"/>
      <c r="B171" s="23"/>
      <c r="C171" s="37"/>
      <c r="D171" s="23"/>
    </row>
    <row r="172" ht="15.75" customHeight="1">
      <c r="A172" s="36"/>
      <c r="B172" s="23"/>
      <c r="C172" s="37"/>
      <c r="D172" s="23"/>
    </row>
    <row r="173" ht="15.75" customHeight="1">
      <c r="A173" s="36"/>
      <c r="B173" s="23"/>
      <c r="C173" s="37"/>
      <c r="D173" s="23"/>
    </row>
    <row r="174" ht="15.75" customHeight="1">
      <c r="A174" s="36"/>
      <c r="B174" s="23"/>
      <c r="C174" s="37"/>
      <c r="D174" s="23"/>
    </row>
    <row r="175" ht="15.75" customHeight="1">
      <c r="A175" s="36"/>
      <c r="B175" s="23"/>
      <c r="C175" s="37"/>
      <c r="D175" s="23"/>
    </row>
    <row r="176" ht="15.75" customHeight="1">
      <c r="A176" s="36"/>
      <c r="B176" s="23"/>
      <c r="C176" s="37"/>
      <c r="D176" s="23"/>
    </row>
    <row r="177" ht="15.75" customHeight="1">
      <c r="A177" s="36"/>
      <c r="B177" s="23"/>
      <c r="C177" s="37"/>
      <c r="D177" s="23"/>
    </row>
    <row r="178" ht="15.75" customHeight="1">
      <c r="A178" s="36"/>
      <c r="B178" s="23"/>
      <c r="C178" s="37"/>
      <c r="D178" s="23"/>
    </row>
    <row r="179" ht="15.75" customHeight="1">
      <c r="A179" s="36"/>
      <c r="B179" s="23"/>
      <c r="C179" s="37"/>
      <c r="D179" s="23"/>
    </row>
    <row r="180" ht="15.75" customHeight="1">
      <c r="A180" s="36"/>
      <c r="B180" s="23"/>
      <c r="C180" s="37"/>
      <c r="D180" s="23"/>
    </row>
    <row r="181" ht="15.75" customHeight="1">
      <c r="A181" s="36"/>
      <c r="B181" s="23"/>
      <c r="C181" s="37"/>
      <c r="D181" s="23"/>
    </row>
    <row r="182" ht="15.75" customHeight="1">
      <c r="A182" s="36"/>
      <c r="B182" s="23"/>
      <c r="C182" s="37"/>
      <c r="D182" s="23"/>
    </row>
    <row r="183" ht="15.75" customHeight="1">
      <c r="A183" s="36"/>
      <c r="B183" s="23"/>
      <c r="C183" s="37"/>
      <c r="D183" s="23"/>
    </row>
    <row r="184" ht="15.75" customHeight="1">
      <c r="A184" s="36"/>
      <c r="B184" s="23"/>
      <c r="C184" s="37"/>
      <c r="D184" s="23"/>
    </row>
    <row r="185" ht="15.75" customHeight="1">
      <c r="A185" s="36"/>
      <c r="B185" s="23"/>
      <c r="C185" s="37"/>
      <c r="D185" s="23"/>
    </row>
    <row r="186" ht="15.75" customHeight="1">
      <c r="A186" s="36"/>
      <c r="B186" s="23"/>
      <c r="C186" s="37"/>
      <c r="D186" s="23"/>
    </row>
    <row r="187" ht="15.75" customHeight="1">
      <c r="A187" s="36"/>
      <c r="B187" s="23"/>
      <c r="C187" s="37"/>
      <c r="D187" s="23"/>
    </row>
    <row r="188" ht="15.75" customHeight="1">
      <c r="A188" s="36"/>
      <c r="B188" s="23"/>
      <c r="C188" s="37"/>
      <c r="D188" s="23"/>
    </row>
    <row r="189" ht="15.75" customHeight="1">
      <c r="A189" s="36"/>
      <c r="B189" s="23"/>
      <c r="C189" s="37"/>
      <c r="D189" s="23"/>
    </row>
    <row r="190" ht="15.75" customHeight="1">
      <c r="A190" s="36"/>
      <c r="B190" s="23"/>
      <c r="C190" s="37"/>
      <c r="D190" s="23"/>
    </row>
    <row r="191" ht="15.75" customHeight="1">
      <c r="A191" s="36"/>
      <c r="B191" s="23"/>
      <c r="C191" s="37"/>
      <c r="D191" s="23"/>
    </row>
    <row r="192" ht="15.75" customHeight="1">
      <c r="A192" s="36"/>
      <c r="B192" s="23"/>
      <c r="C192" s="37"/>
      <c r="D192" s="23"/>
    </row>
    <row r="193" ht="15.75" customHeight="1">
      <c r="A193" s="36"/>
      <c r="B193" s="23"/>
      <c r="C193" s="37"/>
      <c r="D193" s="23"/>
    </row>
    <row r="194" ht="15.75" customHeight="1">
      <c r="A194" s="36"/>
      <c r="B194" s="23"/>
      <c r="C194" s="37"/>
      <c r="D194" s="23"/>
    </row>
    <row r="195" ht="15.75" customHeight="1">
      <c r="A195" s="36"/>
      <c r="B195" s="23"/>
      <c r="C195" s="37"/>
      <c r="D195" s="23"/>
    </row>
    <row r="196" ht="15.75" customHeight="1">
      <c r="A196" s="36"/>
      <c r="B196" s="23"/>
      <c r="C196" s="37"/>
      <c r="D196" s="23"/>
    </row>
    <row r="197" ht="15.75" customHeight="1">
      <c r="A197" s="36"/>
      <c r="B197" s="23"/>
      <c r="C197" s="37"/>
      <c r="D197" s="23"/>
    </row>
    <row r="198" ht="15.75" customHeight="1">
      <c r="A198" s="36"/>
      <c r="B198" s="23"/>
      <c r="C198" s="37"/>
      <c r="D198" s="23"/>
    </row>
    <row r="199" ht="15.75" customHeight="1">
      <c r="A199" s="36"/>
      <c r="B199" s="23"/>
      <c r="C199" s="37"/>
      <c r="D199" s="23"/>
    </row>
    <row r="200" ht="15.75" customHeight="1">
      <c r="A200" s="36"/>
      <c r="B200" s="23"/>
      <c r="C200" s="37"/>
      <c r="D200" s="23"/>
    </row>
    <row r="201" ht="15.75" customHeight="1">
      <c r="A201" s="36"/>
      <c r="B201" s="23"/>
      <c r="C201" s="37"/>
      <c r="D201" s="23"/>
    </row>
    <row r="202" ht="15.75" customHeight="1">
      <c r="A202" s="36"/>
      <c r="B202" s="23"/>
      <c r="C202" s="37"/>
      <c r="D202" s="23"/>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B3:B202">
      <formula1>Roster</formula1>
    </dataValidation>
  </dataValidations>
  <printOptions/>
  <pageMargins bottom="1.0" footer="0.0" header="0.0" left="0.75" right="0.75" top="1.0"/>
  <pageSetup paperSize="9" orientation="portrait"/>
  <drawing r:id="rId1"/>
</worksheet>
</file>